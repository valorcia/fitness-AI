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 trésorerie" sheetId="1" state="visible" r:id="rId1"/>
    <sheet xmlns:r="http://schemas.openxmlformats.org/officeDocument/2006/relationships" name="Suivi impayés" sheetId="2" state="visible" r:id="rId2"/>
    <sheet xmlns:r="http://schemas.openxmlformats.org/officeDocument/2006/relationships" name="Mode d'emploi" sheetId="3" state="visible" r:id="rId3"/>
  </sheets>
  <definedNames>
    <definedName name="_xlnm._FilterDatabase" localSheetId="0" hidden="1">'Suivi trésorerie'!$A$4:$G$80</definedName>
    <definedName name="_xlnm._FilterDatabase" localSheetId="1" hidden="1">'Suivi impayés'!$A$3:$I$40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&quot; €&quot;"/>
    <numFmt numFmtId="165" formatCode="#,##0&quot; €&quot;"/>
    <numFmt numFmtId="166" formatCode="yyyy-mm-dd"/>
    <numFmt numFmtId="167" formatCode="DD/MM/YYYY"/>
  </numFmts>
  <fonts count="2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b val="1"/>
      <i val="1"/>
      <color rgb="007F8C8D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000000"/>
      <sz val="10"/>
    </font>
    <font>
      <name val="Calibri"/>
      <b val="1"/>
      <color rgb="0027AE60"/>
      <sz val="10"/>
    </font>
    <font>
      <name val="Calibri"/>
      <b val="1"/>
      <color rgb="00000000"/>
      <sz val="10"/>
    </font>
    <font>
      <name val="Calibri"/>
      <b val="1"/>
      <color rgb="00C0392B"/>
      <sz val="10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b val="1"/>
      <color rgb="00FFFFFF"/>
      <sz val="16"/>
    </font>
    <font>
      <name val="Calibri"/>
      <i val="1"/>
      <color rgb="00C0392B"/>
      <sz val="10"/>
    </font>
    <font>
      <name val="Calibri"/>
      <b val="1"/>
      <color rgb="00FFFFFF"/>
      <sz val="18"/>
    </font>
    <font>
      <name val="Calibri"/>
      <color rgb="00000000"/>
      <sz val="8"/>
    </font>
    <font>
      <name val="Calibri"/>
      <b val="1"/>
      <color rgb="001F3A93"/>
      <sz val="14"/>
    </font>
    <font>
      <name val="Calibri"/>
      <color rgb="00000000"/>
      <sz val="11"/>
    </font>
    <font>
      <name val="Calibri"/>
      <color rgb="00000000"/>
      <sz val="6"/>
    </font>
    <font>
      <name val="Calibri"/>
      <b val="1"/>
      <color rgb="008E44AD"/>
      <sz val="10"/>
    </font>
    <font>
      <name val="Calibri"/>
      <b val="1"/>
      <color rgb="0016A085"/>
      <sz val="10"/>
    </font>
    <font>
      <name val="Calibri"/>
      <b val="1"/>
      <color rgb="002980B9"/>
      <sz val="10"/>
    </font>
    <font>
      <name val="Calibri"/>
      <b val="1"/>
      <color rgb="00C0392B"/>
      <sz val="14"/>
    </font>
    <font>
      <name val="Calibri"/>
      <b val="1"/>
      <color rgb="00E67E22"/>
      <sz val="14"/>
    </font>
  </fonts>
  <fills count="12">
    <fill>
      <patternFill/>
    </fill>
    <fill>
      <patternFill patternType="gray125"/>
    </fill>
    <fill>
      <patternFill patternType="solid">
        <fgColor rgb="001F3A93"/>
      </patternFill>
    </fill>
    <fill>
      <patternFill patternType="solid">
        <fgColor rgb="008E44AD"/>
      </patternFill>
    </fill>
    <fill>
      <patternFill patternType="solid">
        <fgColor rgb="0016A085"/>
      </patternFill>
    </fill>
    <fill>
      <patternFill patternType="solid">
        <fgColor rgb="002980B9"/>
      </patternFill>
    </fill>
    <fill>
      <patternFill patternType="solid">
        <fgColor rgb="00EBDEF0"/>
      </patternFill>
    </fill>
    <fill>
      <patternFill patternType="solid">
        <fgColor rgb="00D1F2EB"/>
      </patternFill>
    </fill>
    <fill>
      <patternFill patternType="solid">
        <fgColor rgb="00D6EAF8"/>
      </patternFill>
    </fill>
    <fill>
      <patternFill patternType="solid">
        <fgColor rgb="0027AE60"/>
      </patternFill>
    </fill>
    <fill>
      <patternFill patternType="solid">
        <fgColor rgb="00C0392B"/>
      </patternFill>
    </fill>
    <fill>
      <patternFill patternType="solid"/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right" vertical="center"/>
    </xf>
    <xf numFmtId="165" fontId="3" fillId="9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right" vertical="center"/>
    </xf>
    <xf numFmtId="165" fontId="3" fillId="10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right" vertical="center"/>
    </xf>
    <xf numFmtId="165" fontId="4" fillId="2" borderId="1" applyAlignment="1" pivotButton="0" quotePrefix="0" xfId="0">
      <alignment horizontal="right" vertical="center"/>
    </xf>
    <xf numFmtId="0" fontId="11" fillId="11" borderId="1" applyAlignment="1" pivotButton="0" quotePrefix="0" xfId="0">
      <alignment horizontal="right" vertical="center"/>
    </xf>
    <xf numFmtId="165" fontId="10" fillId="11" borderId="1" applyAlignment="1" pivotButton="0" quotePrefix="0" xfId="0">
      <alignment horizontal="right" vertical="center"/>
    </xf>
    <xf numFmtId="0" fontId="12" fillId="10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167" fontId="6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4" fontId="11" fillId="11" borderId="1" applyAlignment="1" pivotButton="0" quotePrefix="0" xfId="0">
      <alignment horizontal="right" vertical="center"/>
    </xf>
    <xf numFmtId="0" fontId="14" fillId="2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6">
    <dxf>
      <fill>
        <patternFill patternType="solid">
          <fgColor rgb="00D5F5E3"/>
        </patternFill>
      </fill>
    </dxf>
    <dxf>
      <fill>
        <patternFill patternType="solid">
          <fgColor rgb="00E8EEFC"/>
        </patternFill>
      </fill>
    </dxf>
    <dxf>
      <fill>
        <patternFill patternType="solid">
          <fgColor rgb="00FDEBD0"/>
        </patternFill>
      </fill>
    </dxf>
    <dxf>
      <fill>
        <patternFill patternType="solid">
          <fgColor rgb="00FADBD8"/>
        </patternFill>
      </fill>
    </dxf>
    <dxf>
      <fill>
        <patternFill patternType="solid">
          <fgColor rgb="00F2F3F4"/>
        </patternFill>
      </fill>
    </dxf>
    <dxf>
      <font>
        <b val="1"/>
        <color rgb="00FFFFFF"/>
      </font>
      <fill>
        <patternFill patternType="solid">
          <fgColor rgb="00C0392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99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11" customWidth="1" min="4" max="4"/>
    <col width="14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34" customHeight="1">
      <c r="A1" s="1" t="inlineStr">
        <is>
          <t>💰  SUIVI DE TRÉSORERIE PRÉVISIONNELLE  —  VALORCIA · LUCA CRÉATIONS · 123 SPA  💰</t>
        </is>
      </c>
    </row>
    <row r="2" ht="22" customHeight="1">
      <c r="A2" s="2" t="inlineStr">
        <is>
          <t>Légende sociétés →</t>
        </is>
      </c>
      <c r="C2" s="3" t="inlineStr">
        <is>
          <t>● Valorcia</t>
        </is>
      </c>
      <c r="F2" s="4" t="inlineStr">
        <is>
          <t>● Luca Créations</t>
        </is>
      </c>
      <c r="I2" s="5" t="inlineStr">
        <is>
          <t>● 123 SPA</t>
        </is>
      </c>
    </row>
    <row r="4" ht="34" customHeight="1">
      <c r="A4" s="6" t="inlineStr">
        <is>
          <t>Société</t>
        </is>
      </c>
      <c r="B4" s="6" t="inlineStr">
        <is>
          <t>Nom client</t>
        </is>
      </c>
      <c r="C4" s="6" t="inlineStr">
        <is>
          <t>Projet</t>
        </is>
      </c>
      <c r="D4" s="6" t="inlineStr">
        <is>
          <t>Type</t>
        </is>
      </c>
      <c r="E4" s="6" t="inlineStr">
        <is>
          <t>Montant HT (€)</t>
        </is>
      </c>
      <c r="F4" s="6" t="inlineStr">
        <is>
          <t>Échéance</t>
        </is>
      </c>
      <c r="G4" s="6" t="inlineStr">
        <is>
          <t>Statut</t>
        </is>
      </c>
      <c r="H4" s="7" t="inlineStr">
        <is>
          <t>S33
10/08</t>
        </is>
      </c>
      <c r="I4" s="7" t="inlineStr">
        <is>
          <t>S34
17/08</t>
        </is>
      </c>
      <c r="J4" s="7" t="inlineStr">
        <is>
          <t>S35
24/08</t>
        </is>
      </c>
      <c r="K4" s="7" t="inlineStr">
        <is>
          <t>S36
31/08</t>
        </is>
      </c>
      <c r="L4" s="7" t="inlineStr">
        <is>
          <t>S37
07/09</t>
        </is>
      </c>
      <c r="M4" s="7" t="inlineStr">
        <is>
          <t>S38
14/09</t>
        </is>
      </c>
      <c r="N4" s="7" t="inlineStr">
        <is>
          <t>S39
21/09</t>
        </is>
      </c>
      <c r="O4" s="7" t="inlineStr">
        <is>
          <t>S40
28/09</t>
        </is>
      </c>
      <c r="P4" s="7" t="inlineStr">
        <is>
          <t>S41
05/10</t>
        </is>
      </c>
      <c r="Q4" s="7" t="inlineStr">
        <is>
          <t>S42
12/10</t>
        </is>
      </c>
      <c r="R4" s="7" t="inlineStr">
        <is>
          <t>S43
19/10</t>
        </is>
      </c>
      <c r="S4" s="7" t="inlineStr">
        <is>
          <t>S44
26/10</t>
        </is>
      </c>
    </row>
    <row r="5" ht="22" customHeight="1">
      <c r="A5" s="8" t="inlineStr">
        <is>
          <t>Valorcia</t>
        </is>
      </c>
      <c r="B5" s="9" t="inlineStr">
        <is>
          <t>Dupont SAS</t>
        </is>
      </c>
      <c r="C5" s="9" t="inlineStr">
        <is>
          <t>Facture prestation Alpha</t>
        </is>
      </c>
      <c r="D5" s="10" t="inlineStr">
        <is>
          <t>Entrée</t>
        </is>
      </c>
      <c r="E5" s="11" t="n">
        <v>4500</v>
      </c>
      <c r="F5" s="12" t="inlineStr">
        <is>
          <t>15/12/2026</t>
        </is>
      </c>
      <c r="G5" s="13" t="inlineStr">
        <is>
          <t>Payé</t>
        </is>
      </c>
      <c r="H5" s="14" t="inlineStr"/>
      <c r="I5" s="14" t="inlineStr"/>
      <c r="J5" s="14" t="inlineStr"/>
      <c r="K5" s="14" t="inlineStr"/>
      <c r="L5" s="14" t="inlineStr"/>
      <c r="M5" s="14" t="inlineStr"/>
      <c r="N5" s="14" t="inlineStr"/>
      <c r="O5" s="14" t="inlineStr"/>
      <c r="P5" s="14" t="inlineStr"/>
      <c r="Q5" s="14" t="inlineStr"/>
      <c r="R5" s="14" t="inlineStr"/>
      <c r="S5" s="14" t="inlineStr"/>
    </row>
    <row r="6" ht="22" customHeight="1">
      <c r="A6" s="8" t="inlineStr">
        <is>
          <t>Valorcia</t>
        </is>
      </c>
      <c r="B6" s="9" t="inlineStr">
        <is>
          <t>Martin &amp; Fils</t>
        </is>
      </c>
      <c r="C6" s="9" t="inlineStr">
        <is>
          <t>Consulting projet Beta</t>
        </is>
      </c>
      <c r="D6" s="10" t="inlineStr">
        <is>
          <t>Entrée</t>
        </is>
      </c>
      <c r="E6" s="11" t="n">
        <v>6800</v>
      </c>
      <c r="F6" s="12" t="inlineStr">
        <is>
          <t>22/12/2026</t>
        </is>
      </c>
      <c r="G6" s="13" t="inlineStr">
        <is>
          <t>Prévu</t>
        </is>
      </c>
      <c r="H6" s="14" t="inlineStr"/>
      <c r="I6" s="14" t="inlineStr"/>
      <c r="J6" s="14" t="inlineStr"/>
      <c r="K6" s="14" t="inlineStr"/>
      <c r="L6" s="14" t="inlineStr"/>
      <c r="M6" s="14" t="inlineStr"/>
      <c r="N6" s="14" t="inlineStr"/>
      <c r="O6" s="14" t="inlineStr"/>
      <c r="P6" s="14" t="inlineStr"/>
      <c r="Q6" s="14" t="inlineStr"/>
      <c r="R6" s="14" t="inlineStr"/>
      <c r="S6" s="14" t="inlineStr"/>
    </row>
    <row r="7" ht="22" customHeight="1">
      <c r="A7" s="8" t="inlineStr">
        <is>
          <t>Valorcia</t>
        </is>
      </c>
      <c r="B7" s="9" t="inlineStr">
        <is>
          <t>Loyer bureau</t>
        </is>
      </c>
      <c r="C7" s="9" t="inlineStr">
        <is>
          <t>Décembre 2026</t>
        </is>
      </c>
      <c r="D7" s="15" t="inlineStr">
        <is>
          <t>Sortie</t>
        </is>
      </c>
      <c r="E7" s="11" t="n">
        <v>1200</v>
      </c>
      <c r="F7" s="12" t="inlineStr">
        <is>
          <t>05/12/2026</t>
        </is>
      </c>
      <c r="G7" s="13" t="inlineStr">
        <is>
          <t>Payé</t>
        </is>
      </c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</row>
    <row r="8" ht="22" customHeight="1">
      <c r="A8" s="16" t="inlineStr">
        <is>
          <t>Luca Créations</t>
        </is>
      </c>
      <c r="B8" s="17" t="inlineStr">
        <is>
          <t>Boutique Marie</t>
        </is>
      </c>
      <c r="C8" s="17" t="inlineStr">
        <is>
          <t>Création site vitrine</t>
        </is>
      </c>
      <c r="D8" s="18" t="inlineStr">
        <is>
          <t>Entrée</t>
        </is>
      </c>
      <c r="E8" s="19" t="n">
        <v>3200</v>
      </c>
      <c r="F8" s="20" t="inlineStr">
        <is>
          <t>18/12/2026</t>
        </is>
      </c>
      <c r="G8" s="13" t="inlineStr">
        <is>
          <t>Prévu</t>
        </is>
      </c>
      <c r="H8" s="21" t="inlineStr"/>
      <c r="I8" s="21" t="inlineStr"/>
      <c r="J8" s="21" t="inlineStr"/>
      <c r="K8" s="21" t="inlineStr"/>
      <c r="L8" s="21" t="inlineStr"/>
      <c r="M8" s="21" t="inlineStr"/>
      <c r="N8" s="21" t="inlineStr"/>
      <c r="O8" s="21" t="inlineStr"/>
      <c r="P8" s="21" t="inlineStr"/>
      <c r="Q8" s="21" t="inlineStr"/>
      <c r="R8" s="21" t="inlineStr"/>
      <c r="S8" s="21" t="inlineStr"/>
    </row>
    <row r="9" ht="22" customHeight="1">
      <c r="A9" s="16" t="inlineStr">
        <is>
          <t>Luca Créations</t>
        </is>
      </c>
      <c r="B9" s="17" t="inlineStr">
        <is>
          <t>Fournisseur print</t>
        </is>
      </c>
      <c r="C9" s="17" t="inlineStr">
        <is>
          <t>Impression flyers</t>
        </is>
      </c>
      <c r="D9" s="22" t="inlineStr">
        <is>
          <t>Sortie</t>
        </is>
      </c>
      <c r="E9" s="19" t="n">
        <v>450</v>
      </c>
      <c r="F9" s="20" t="inlineStr">
        <is>
          <t>12/12/2026</t>
        </is>
      </c>
      <c r="G9" s="13" t="inlineStr">
        <is>
          <t>Payé</t>
        </is>
      </c>
      <c r="H9" s="21" t="inlineStr"/>
      <c r="I9" s="21" t="inlineStr"/>
      <c r="J9" s="21" t="inlineStr"/>
      <c r="K9" s="21" t="inlineStr"/>
      <c r="L9" s="21" t="inlineStr"/>
      <c r="M9" s="21" t="inlineStr"/>
      <c r="N9" s="21" t="inlineStr"/>
      <c r="O9" s="21" t="inlineStr"/>
      <c r="P9" s="21" t="inlineStr"/>
      <c r="Q9" s="21" t="inlineStr"/>
      <c r="R9" s="21" t="inlineStr"/>
      <c r="S9" s="21" t="inlineStr"/>
    </row>
    <row r="10" ht="22" customHeight="1">
      <c r="A10" s="16" t="inlineStr">
        <is>
          <t>Luca Créations</t>
        </is>
      </c>
      <c r="B10" s="17" t="inlineStr">
        <is>
          <t>Client Durand</t>
        </is>
      </c>
      <c r="C10" s="17" t="inlineStr">
        <is>
          <t>Solde facture #2026-084</t>
        </is>
      </c>
      <c r="D10" s="18" t="inlineStr">
        <is>
          <t>Entrée</t>
        </is>
      </c>
      <c r="E10" s="19" t="n">
        <v>2300</v>
      </c>
      <c r="F10" s="20" t="inlineStr">
        <is>
          <t>10/12/2026</t>
        </is>
      </c>
      <c r="G10" s="13" t="inlineStr">
        <is>
          <t>En retard</t>
        </is>
      </c>
      <c r="H10" s="21" t="inlineStr"/>
      <c r="I10" s="21" t="inlineStr"/>
      <c r="J10" s="21" t="inlineStr"/>
      <c r="K10" s="21" t="inlineStr"/>
      <c r="L10" s="21" t="inlineStr"/>
      <c r="M10" s="21" t="inlineStr"/>
      <c r="N10" s="21" t="inlineStr"/>
      <c r="O10" s="21" t="inlineStr"/>
      <c r="P10" s="21" t="inlineStr"/>
      <c r="Q10" s="21" t="inlineStr"/>
      <c r="R10" s="21" t="inlineStr"/>
      <c r="S10" s="21" t="inlineStr"/>
    </row>
    <row r="11" ht="22" customHeight="1">
      <c r="A11" s="23" t="inlineStr">
        <is>
          <t>123 SPA</t>
        </is>
      </c>
      <c r="B11" s="24" t="inlineStr">
        <is>
          <t>Client Leroy</t>
        </is>
      </c>
      <c r="C11" s="24" t="inlineStr">
        <is>
          <t>Acompte installation spa</t>
        </is>
      </c>
      <c r="D11" s="25" t="inlineStr">
        <is>
          <t>Entrée</t>
        </is>
      </c>
      <c r="E11" s="26" t="n">
        <v>1500</v>
      </c>
      <c r="F11" s="27" t="inlineStr">
        <is>
          <t>28/12/2026</t>
        </is>
      </c>
      <c r="G11" s="13" t="inlineStr">
        <is>
          <t>Impayé</t>
        </is>
      </c>
      <c r="H11" s="28" t="inlineStr"/>
      <c r="I11" s="28" t="inlineStr"/>
      <c r="J11" s="28" t="inlineStr"/>
      <c r="K11" s="28" t="inlineStr"/>
      <c r="L11" s="28" t="inlineStr"/>
      <c r="M11" s="28" t="inlineStr"/>
      <c r="N11" s="28" t="inlineStr"/>
      <c r="O11" s="28" t="inlineStr"/>
      <c r="P11" s="28" t="inlineStr"/>
      <c r="Q11" s="28" t="inlineStr"/>
      <c r="R11" s="28" t="inlineStr"/>
      <c r="S11" s="28" t="inlineStr"/>
    </row>
    <row r="12" ht="22" customHeight="1">
      <c r="A12" s="23" t="inlineStr">
        <is>
          <t>123 SPA</t>
        </is>
      </c>
      <c r="B12" s="24" t="inlineStr">
        <is>
          <t>Tonio (Plancha)</t>
        </is>
      </c>
      <c r="C12" s="24" t="inlineStr">
        <is>
          <t>Achat accessoires — F.51388</t>
        </is>
      </c>
      <c r="D12" s="29" t="inlineStr">
        <is>
          <t>Sortie</t>
        </is>
      </c>
      <c r="E12" s="26" t="n">
        <v>69</v>
      </c>
      <c r="F12" s="27" t="inlineStr">
        <is>
          <t>17/12/2026</t>
        </is>
      </c>
      <c r="G12" s="13" t="inlineStr">
        <is>
          <t>Payé</t>
        </is>
      </c>
      <c r="H12" s="28" t="inlineStr"/>
      <c r="I12" s="28" t="inlineStr"/>
      <c r="J12" s="28" t="inlineStr"/>
      <c r="K12" s="28" t="inlineStr"/>
      <c r="L12" s="28" t="inlineStr"/>
      <c r="M12" s="28" t="inlineStr"/>
      <c r="N12" s="28" t="inlineStr"/>
      <c r="O12" s="28" t="inlineStr"/>
      <c r="P12" s="28" t="inlineStr"/>
      <c r="Q12" s="28" t="inlineStr"/>
      <c r="R12" s="28" t="inlineStr"/>
      <c r="S12" s="28" t="inlineStr"/>
    </row>
    <row r="13" ht="22" customHeight="1">
      <c r="A13" s="23" t="inlineStr">
        <is>
          <t>123 SPA</t>
        </is>
      </c>
      <c r="B13" s="24" t="inlineStr">
        <is>
          <t>Client Petit</t>
        </is>
      </c>
      <c r="C13" s="24" t="inlineStr">
        <is>
          <t>Livraison + pose jacuzzi</t>
        </is>
      </c>
      <c r="D13" s="25" t="inlineStr">
        <is>
          <t>Entrée</t>
        </is>
      </c>
      <c r="E13" s="26" t="n">
        <v>5800</v>
      </c>
      <c r="F13" s="27" t="inlineStr">
        <is>
          <t>20/12/2026</t>
        </is>
      </c>
      <c r="G13" s="13" t="inlineStr">
        <is>
          <t>Prévu</t>
        </is>
      </c>
      <c r="H13" s="28" t="inlineStr"/>
      <c r="I13" s="28" t="inlineStr"/>
      <c r="J13" s="28" t="inlineStr"/>
      <c r="K13" s="28" t="inlineStr"/>
      <c r="L13" s="28" t="inlineStr"/>
      <c r="M13" s="28" t="inlineStr"/>
      <c r="N13" s="28" t="inlineStr"/>
      <c r="O13" s="28" t="inlineStr"/>
      <c r="P13" s="28" t="inlineStr"/>
      <c r="Q13" s="28" t="inlineStr"/>
      <c r="R13" s="28" t="inlineStr"/>
      <c r="S13" s="28" t="inlineStr"/>
    </row>
    <row r="14" ht="22" customHeight="1">
      <c r="A14" s="23" t="inlineStr">
        <is>
          <t>123 SPA</t>
        </is>
      </c>
      <c r="B14" s="24" t="inlineStr">
        <is>
          <t>Fournisseur PoolPro</t>
        </is>
      </c>
      <c r="C14" s="24" t="inlineStr">
        <is>
          <t>Kit filtration</t>
        </is>
      </c>
      <c r="D14" s="29" t="inlineStr">
        <is>
          <t>Sortie</t>
        </is>
      </c>
      <c r="E14" s="26" t="n">
        <v>1250</v>
      </c>
      <c r="F14" s="27" t="inlineStr">
        <is>
          <t>18/12/2026</t>
        </is>
      </c>
      <c r="G14" s="13" t="inlineStr">
        <is>
          <t>Prévu</t>
        </is>
      </c>
      <c r="H14" s="28" t="inlineStr"/>
      <c r="I14" s="28" t="inlineStr"/>
      <c r="J14" s="28" t="inlineStr"/>
      <c r="K14" s="28" t="inlineStr"/>
      <c r="L14" s="28" t="inlineStr"/>
      <c r="M14" s="28" t="inlineStr"/>
      <c r="N14" s="28" t="inlineStr"/>
      <c r="O14" s="28" t="inlineStr"/>
      <c r="P14" s="28" t="inlineStr"/>
      <c r="Q14" s="28" t="inlineStr"/>
      <c r="R14" s="28" t="inlineStr"/>
      <c r="S14" s="28" t="inlineStr"/>
    </row>
    <row r="15" ht="20" customHeight="1">
      <c r="A15" s="30" t="inlineStr"/>
      <c r="B15" s="30" t="inlineStr"/>
      <c r="C15" s="30" t="inlineStr"/>
      <c r="D15" s="30" t="inlineStr"/>
      <c r="E15" s="31" t="inlineStr"/>
      <c r="F15" s="30" t="inlineStr"/>
      <c r="G15" s="30" t="inlineStr"/>
      <c r="H15" s="31" t="inlineStr"/>
      <c r="I15" s="31" t="inlineStr"/>
      <c r="J15" s="31" t="inlineStr"/>
      <c r="K15" s="31" t="inlineStr"/>
      <c r="L15" s="31" t="inlineStr"/>
      <c r="M15" s="31" t="inlineStr"/>
      <c r="N15" s="31" t="inlineStr"/>
      <c r="O15" s="31" t="inlineStr"/>
      <c r="P15" s="31" t="inlineStr"/>
      <c r="Q15" s="31" t="inlineStr"/>
      <c r="R15" s="31" t="inlineStr"/>
      <c r="S15" s="31" t="inlineStr"/>
    </row>
    <row r="16" ht="20" customHeight="1">
      <c r="A16" s="30" t="inlineStr"/>
      <c r="B16" s="30" t="inlineStr"/>
      <c r="C16" s="30" t="inlineStr"/>
      <c r="D16" s="30" t="inlineStr"/>
      <c r="E16" s="31" t="inlineStr"/>
      <c r="F16" s="30" t="inlineStr"/>
      <c r="G16" s="30" t="inlineStr"/>
      <c r="H16" s="31" t="inlineStr"/>
      <c r="I16" s="31" t="inlineStr"/>
      <c r="J16" s="31" t="inlineStr"/>
      <c r="K16" s="31" t="inlineStr"/>
      <c r="L16" s="31" t="inlineStr"/>
      <c r="M16" s="31" t="inlineStr"/>
      <c r="N16" s="31" t="inlineStr"/>
      <c r="O16" s="31" t="inlineStr"/>
      <c r="P16" s="31" t="inlineStr"/>
      <c r="Q16" s="31" t="inlineStr"/>
      <c r="R16" s="31" t="inlineStr"/>
      <c r="S16" s="31" t="inlineStr"/>
    </row>
    <row r="17" ht="20" customHeight="1">
      <c r="A17" s="30" t="inlineStr"/>
      <c r="B17" s="30" t="inlineStr"/>
      <c r="C17" s="30" t="inlineStr"/>
      <c r="D17" s="30" t="inlineStr"/>
      <c r="E17" s="31" t="inlineStr"/>
      <c r="F17" s="30" t="inlineStr"/>
      <c r="G17" s="30" t="inlineStr"/>
      <c r="H17" s="31" t="inlineStr"/>
      <c r="I17" s="31" t="inlineStr"/>
      <c r="J17" s="31" t="inlineStr"/>
      <c r="K17" s="31" t="inlineStr"/>
      <c r="L17" s="31" t="inlineStr"/>
      <c r="M17" s="31" t="inlineStr"/>
      <c r="N17" s="31" t="inlineStr"/>
      <c r="O17" s="31" t="inlineStr"/>
      <c r="P17" s="31" t="inlineStr"/>
      <c r="Q17" s="31" t="inlineStr"/>
      <c r="R17" s="31" t="inlineStr"/>
      <c r="S17" s="31" t="inlineStr"/>
    </row>
    <row r="18" ht="20" customHeight="1">
      <c r="A18" s="30" t="inlineStr"/>
      <c r="B18" s="30" t="inlineStr"/>
      <c r="C18" s="30" t="inlineStr"/>
      <c r="D18" s="30" t="inlineStr"/>
      <c r="E18" s="31" t="inlineStr"/>
      <c r="F18" s="30" t="inlineStr"/>
      <c r="G18" s="30" t="inlineStr"/>
      <c r="H18" s="31" t="inlineStr"/>
      <c r="I18" s="31" t="inlineStr"/>
      <c r="J18" s="31" t="inlineStr"/>
      <c r="K18" s="31" t="inlineStr"/>
      <c r="L18" s="31" t="inlineStr"/>
      <c r="M18" s="31" t="inlineStr"/>
      <c r="N18" s="31" t="inlineStr"/>
      <c r="O18" s="31" t="inlineStr"/>
      <c r="P18" s="31" t="inlineStr"/>
      <c r="Q18" s="31" t="inlineStr"/>
      <c r="R18" s="31" t="inlineStr"/>
      <c r="S18" s="31" t="inlineStr"/>
    </row>
    <row r="19" ht="20" customHeight="1">
      <c r="A19" s="30" t="inlineStr"/>
      <c r="B19" s="30" t="inlineStr"/>
      <c r="C19" s="30" t="inlineStr"/>
      <c r="D19" s="30" t="inlineStr"/>
      <c r="E19" s="31" t="inlineStr"/>
      <c r="F19" s="30" t="inlineStr"/>
      <c r="G19" s="30" t="inlineStr"/>
      <c r="H19" s="31" t="inlineStr"/>
      <c r="I19" s="31" t="inlineStr"/>
      <c r="J19" s="31" t="inlineStr"/>
      <c r="K19" s="31" t="inlineStr"/>
      <c r="L19" s="31" t="inlineStr"/>
      <c r="M19" s="31" t="inlineStr"/>
      <c r="N19" s="31" t="inlineStr"/>
      <c r="O19" s="31" t="inlineStr"/>
      <c r="P19" s="31" t="inlineStr"/>
      <c r="Q19" s="31" t="inlineStr"/>
      <c r="R19" s="31" t="inlineStr"/>
      <c r="S19" s="31" t="inlineStr"/>
    </row>
    <row r="20" ht="20" customHeight="1">
      <c r="A20" s="30" t="inlineStr"/>
      <c r="B20" s="30" t="inlineStr"/>
      <c r="C20" s="30" t="inlineStr"/>
      <c r="D20" s="30" t="inlineStr"/>
      <c r="E20" s="31" t="inlineStr"/>
      <c r="F20" s="30" t="inlineStr"/>
      <c r="G20" s="30" t="inlineStr"/>
      <c r="H20" s="31" t="inlineStr"/>
      <c r="I20" s="31" t="inlineStr"/>
      <c r="J20" s="31" t="inlineStr"/>
      <c r="K20" s="31" t="inlineStr"/>
      <c r="L20" s="31" t="inlineStr"/>
      <c r="M20" s="31" t="inlineStr"/>
      <c r="N20" s="31" t="inlineStr"/>
      <c r="O20" s="31" t="inlineStr"/>
      <c r="P20" s="31" t="inlineStr"/>
      <c r="Q20" s="31" t="inlineStr"/>
      <c r="R20" s="31" t="inlineStr"/>
      <c r="S20" s="31" t="inlineStr"/>
    </row>
    <row r="21" ht="20" customHeight="1">
      <c r="A21" s="30" t="inlineStr"/>
      <c r="B21" s="30" t="inlineStr"/>
      <c r="C21" s="30" t="inlineStr"/>
      <c r="D21" s="30" t="inlineStr"/>
      <c r="E21" s="31" t="inlineStr"/>
      <c r="F21" s="30" t="inlineStr"/>
      <c r="G21" s="30" t="inlineStr"/>
      <c r="H21" s="31" t="inlineStr"/>
      <c r="I21" s="31" t="inlineStr"/>
      <c r="J21" s="31" t="inlineStr"/>
      <c r="K21" s="31" t="inlineStr"/>
      <c r="L21" s="31" t="inlineStr"/>
      <c r="M21" s="31" t="inlineStr"/>
      <c r="N21" s="31" t="inlineStr"/>
      <c r="O21" s="31" t="inlineStr"/>
      <c r="P21" s="31" t="inlineStr"/>
      <c r="Q21" s="31" t="inlineStr"/>
      <c r="R21" s="31" t="inlineStr"/>
      <c r="S21" s="31" t="inlineStr"/>
    </row>
    <row r="22" ht="20" customHeight="1">
      <c r="A22" s="30" t="inlineStr"/>
      <c r="B22" s="30" t="inlineStr"/>
      <c r="C22" s="30" t="inlineStr"/>
      <c r="D22" s="30" t="inlineStr"/>
      <c r="E22" s="31" t="inlineStr"/>
      <c r="F22" s="30" t="inlineStr"/>
      <c r="G22" s="30" t="inlineStr"/>
      <c r="H22" s="31" t="inlineStr"/>
      <c r="I22" s="31" t="inlineStr"/>
      <c r="J22" s="31" t="inlineStr"/>
      <c r="K22" s="31" t="inlineStr"/>
      <c r="L22" s="31" t="inlineStr"/>
      <c r="M22" s="31" t="inlineStr"/>
      <c r="N22" s="31" t="inlineStr"/>
      <c r="O22" s="31" t="inlineStr"/>
      <c r="P22" s="31" t="inlineStr"/>
      <c r="Q22" s="31" t="inlineStr"/>
      <c r="R22" s="31" t="inlineStr"/>
      <c r="S22" s="31" t="inlineStr"/>
    </row>
    <row r="23" ht="20" customHeight="1">
      <c r="A23" s="30" t="inlineStr"/>
      <c r="B23" s="30" t="inlineStr"/>
      <c r="C23" s="30" t="inlineStr"/>
      <c r="D23" s="30" t="inlineStr"/>
      <c r="E23" s="31" t="inlineStr"/>
      <c r="F23" s="30" t="inlineStr"/>
      <c r="G23" s="30" t="inlineStr"/>
      <c r="H23" s="31" t="inlineStr"/>
      <c r="I23" s="31" t="inlineStr"/>
      <c r="J23" s="31" t="inlineStr"/>
      <c r="K23" s="31" t="inlineStr"/>
      <c r="L23" s="31" t="inlineStr"/>
      <c r="M23" s="31" t="inlineStr"/>
      <c r="N23" s="31" t="inlineStr"/>
      <c r="O23" s="31" t="inlineStr"/>
      <c r="P23" s="31" t="inlineStr"/>
      <c r="Q23" s="31" t="inlineStr"/>
      <c r="R23" s="31" t="inlineStr"/>
      <c r="S23" s="31" t="inlineStr"/>
    </row>
    <row r="24" ht="20" customHeight="1">
      <c r="A24" s="30" t="inlineStr"/>
      <c r="B24" s="30" t="inlineStr"/>
      <c r="C24" s="30" t="inlineStr"/>
      <c r="D24" s="30" t="inlineStr"/>
      <c r="E24" s="31" t="inlineStr"/>
      <c r="F24" s="30" t="inlineStr"/>
      <c r="G24" s="30" t="inlineStr"/>
      <c r="H24" s="31" t="inlineStr"/>
      <c r="I24" s="31" t="inlineStr"/>
      <c r="J24" s="31" t="inlineStr"/>
      <c r="K24" s="31" t="inlineStr"/>
      <c r="L24" s="31" t="inlineStr"/>
      <c r="M24" s="31" t="inlineStr"/>
      <c r="N24" s="31" t="inlineStr"/>
      <c r="O24" s="31" t="inlineStr"/>
      <c r="P24" s="31" t="inlineStr"/>
      <c r="Q24" s="31" t="inlineStr"/>
      <c r="R24" s="31" t="inlineStr"/>
      <c r="S24" s="31" t="inlineStr"/>
    </row>
    <row r="25" ht="20" customHeight="1">
      <c r="A25" s="30" t="inlineStr"/>
      <c r="B25" s="30" t="inlineStr"/>
      <c r="C25" s="30" t="inlineStr"/>
      <c r="D25" s="30" t="inlineStr"/>
      <c r="E25" s="31" t="inlineStr"/>
      <c r="F25" s="30" t="inlineStr"/>
      <c r="G25" s="30" t="inlineStr"/>
      <c r="H25" s="31" t="inlineStr"/>
      <c r="I25" s="31" t="inlineStr"/>
      <c r="J25" s="31" t="inlineStr"/>
      <c r="K25" s="31" t="inlineStr"/>
      <c r="L25" s="31" t="inlineStr"/>
      <c r="M25" s="31" t="inlineStr"/>
      <c r="N25" s="31" t="inlineStr"/>
      <c r="O25" s="31" t="inlineStr"/>
      <c r="P25" s="31" t="inlineStr"/>
      <c r="Q25" s="31" t="inlineStr"/>
      <c r="R25" s="31" t="inlineStr"/>
      <c r="S25" s="31" t="inlineStr"/>
    </row>
    <row r="26" ht="20" customHeight="1">
      <c r="A26" s="30" t="inlineStr"/>
      <c r="B26" s="30" t="inlineStr"/>
      <c r="C26" s="30" t="inlineStr"/>
      <c r="D26" s="30" t="inlineStr"/>
      <c r="E26" s="31" t="inlineStr"/>
      <c r="F26" s="30" t="inlineStr"/>
      <c r="G26" s="30" t="inlineStr"/>
      <c r="H26" s="31" t="inlineStr"/>
      <c r="I26" s="31" t="inlineStr"/>
      <c r="J26" s="31" t="inlineStr"/>
      <c r="K26" s="31" t="inlineStr"/>
      <c r="L26" s="31" t="inlineStr"/>
      <c r="M26" s="31" t="inlineStr"/>
      <c r="N26" s="31" t="inlineStr"/>
      <c r="O26" s="31" t="inlineStr"/>
      <c r="P26" s="31" t="inlineStr"/>
      <c r="Q26" s="31" t="inlineStr"/>
      <c r="R26" s="31" t="inlineStr"/>
      <c r="S26" s="31" t="inlineStr"/>
    </row>
    <row r="27" ht="20" customHeight="1">
      <c r="A27" s="30" t="inlineStr"/>
      <c r="B27" s="30" t="inlineStr"/>
      <c r="C27" s="30" t="inlineStr"/>
      <c r="D27" s="30" t="inlineStr"/>
      <c r="E27" s="31" t="inlineStr"/>
      <c r="F27" s="30" t="inlineStr"/>
      <c r="G27" s="30" t="inlineStr"/>
      <c r="H27" s="31" t="inlineStr"/>
      <c r="I27" s="31" t="inlineStr"/>
      <c r="J27" s="31" t="inlineStr"/>
      <c r="K27" s="31" t="inlineStr"/>
      <c r="L27" s="31" t="inlineStr"/>
      <c r="M27" s="31" t="inlineStr"/>
      <c r="N27" s="31" t="inlineStr"/>
      <c r="O27" s="31" t="inlineStr"/>
      <c r="P27" s="31" t="inlineStr"/>
      <c r="Q27" s="31" t="inlineStr"/>
      <c r="R27" s="31" t="inlineStr"/>
      <c r="S27" s="31" t="inlineStr"/>
    </row>
    <row r="28" ht="20" customHeight="1">
      <c r="A28" s="30" t="inlineStr"/>
      <c r="B28" s="30" t="inlineStr"/>
      <c r="C28" s="30" t="inlineStr"/>
      <c r="D28" s="30" t="inlineStr"/>
      <c r="E28" s="31" t="inlineStr"/>
      <c r="F28" s="30" t="inlineStr"/>
      <c r="G28" s="30" t="inlineStr"/>
      <c r="H28" s="31" t="inlineStr"/>
      <c r="I28" s="31" t="inlineStr"/>
      <c r="J28" s="31" t="inlineStr"/>
      <c r="K28" s="31" t="inlineStr"/>
      <c r="L28" s="31" t="inlineStr"/>
      <c r="M28" s="31" t="inlineStr"/>
      <c r="N28" s="31" t="inlineStr"/>
      <c r="O28" s="31" t="inlineStr"/>
      <c r="P28" s="31" t="inlineStr"/>
      <c r="Q28" s="31" t="inlineStr"/>
      <c r="R28" s="31" t="inlineStr"/>
      <c r="S28" s="31" t="inlineStr"/>
    </row>
    <row r="29" ht="20" customHeight="1">
      <c r="A29" s="30" t="inlineStr"/>
      <c r="B29" s="30" t="inlineStr"/>
      <c r="C29" s="30" t="inlineStr"/>
      <c r="D29" s="30" t="inlineStr"/>
      <c r="E29" s="31" t="inlineStr"/>
      <c r="F29" s="30" t="inlineStr"/>
      <c r="G29" s="30" t="inlineStr"/>
      <c r="H29" s="31" t="inlineStr"/>
      <c r="I29" s="31" t="inlineStr"/>
      <c r="J29" s="31" t="inlineStr"/>
      <c r="K29" s="31" t="inlineStr"/>
      <c r="L29" s="31" t="inlineStr"/>
      <c r="M29" s="31" t="inlineStr"/>
      <c r="N29" s="31" t="inlineStr"/>
      <c r="O29" s="31" t="inlineStr"/>
      <c r="P29" s="31" t="inlineStr"/>
      <c r="Q29" s="31" t="inlineStr"/>
      <c r="R29" s="31" t="inlineStr"/>
      <c r="S29" s="31" t="inlineStr"/>
    </row>
    <row r="30" ht="20" customHeight="1">
      <c r="A30" s="30" t="inlineStr"/>
      <c r="B30" s="30" t="inlineStr"/>
      <c r="C30" s="30" t="inlineStr"/>
      <c r="D30" s="30" t="inlineStr"/>
      <c r="E30" s="31" t="inlineStr"/>
      <c r="F30" s="30" t="inlineStr"/>
      <c r="G30" s="30" t="inlineStr"/>
      <c r="H30" s="31" t="inlineStr"/>
      <c r="I30" s="31" t="inlineStr"/>
      <c r="J30" s="31" t="inlineStr"/>
      <c r="K30" s="31" t="inlineStr"/>
      <c r="L30" s="31" t="inlineStr"/>
      <c r="M30" s="31" t="inlineStr"/>
      <c r="N30" s="31" t="inlineStr"/>
      <c r="O30" s="31" t="inlineStr"/>
      <c r="P30" s="31" t="inlineStr"/>
      <c r="Q30" s="31" t="inlineStr"/>
      <c r="R30" s="31" t="inlineStr"/>
      <c r="S30" s="31" t="inlineStr"/>
    </row>
    <row r="31" ht="20" customHeight="1">
      <c r="A31" s="30" t="inlineStr"/>
      <c r="B31" s="30" t="inlineStr"/>
      <c r="C31" s="30" t="inlineStr"/>
      <c r="D31" s="30" t="inlineStr"/>
      <c r="E31" s="31" t="inlineStr"/>
      <c r="F31" s="30" t="inlineStr"/>
      <c r="G31" s="30" t="inlineStr"/>
      <c r="H31" s="31" t="inlineStr"/>
      <c r="I31" s="31" t="inlineStr"/>
      <c r="J31" s="31" t="inlineStr"/>
      <c r="K31" s="31" t="inlineStr"/>
      <c r="L31" s="31" t="inlineStr"/>
      <c r="M31" s="31" t="inlineStr"/>
      <c r="N31" s="31" t="inlineStr"/>
      <c r="O31" s="31" t="inlineStr"/>
      <c r="P31" s="31" t="inlineStr"/>
      <c r="Q31" s="31" t="inlineStr"/>
      <c r="R31" s="31" t="inlineStr"/>
      <c r="S31" s="31" t="inlineStr"/>
    </row>
    <row r="32" ht="20" customHeight="1">
      <c r="A32" s="30" t="inlineStr"/>
      <c r="B32" s="30" t="inlineStr"/>
      <c r="C32" s="30" t="inlineStr"/>
      <c r="D32" s="30" t="inlineStr"/>
      <c r="E32" s="31" t="inlineStr"/>
      <c r="F32" s="30" t="inlineStr"/>
      <c r="G32" s="30" t="inlineStr"/>
      <c r="H32" s="31" t="inlineStr"/>
      <c r="I32" s="31" t="inlineStr"/>
      <c r="J32" s="31" t="inlineStr"/>
      <c r="K32" s="31" t="inlineStr"/>
      <c r="L32" s="31" t="inlineStr"/>
      <c r="M32" s="31" t="inlineStr"/>
      <c r="N32" s="31" t="inlineStr"/>
      <c r="O32" s="31" t="inlineStr"/>
      <c r="P32" s="31" t="inlineStr"/>
      <c r="Q32" s="31" t="inlineStr"/>
      <c r="R32" s="31" t="inlineStr"/>
      <c r="S32" s="31" t="inlineStr"/>
    </row>
    <row r="33" ht="20" customHeight="1">
      <c r="A33" s="30" t="inlineStr"/>
      <c r="B33" s="30" t="inlineStr"/>
      <c r="C33" s="30" t="inlineStr"/>
      <c r="D33" s="30" t="inlineStr"/>
      <c r="E33" s="31" t="inlineStr"/>
      <c r="F33" s="30" t="inlineStr"/>
      <c r="G33" s="30" t="inlineStr"/>
      <c r="H33" s="31" t="inlineStr"/>
      <c r="I33" s="31" t="inlineStr"/>
      <c r="J33" s="31" t="inlineStr"/>
      <c r="K33" s="31" t="inlineStr"/>
      <c r="L33" s="31" t="inlineStr"/>
      <c r="M33" s="31" t="inlineStr"/>
      <c r="N33" s="31" t="inlineStr"/>
      <c r="O33" s="31" t="inlineStr"/>
      <c r="P33" s="31" t="inlineStr"/>
      <c r="Q33" s="31" t="inlineStr"/>
      <c r="R33" s="31" t="inlineStr"/>
      <c r="S33" s="31" t="inlineStr"/>
    </row>
    <row r="34" ht="20" customHeight="1">
      <c r="A34" s="30" t="inlineStr"/>
      <c r="B34" s="30" t="inlineStr"/>
      <c r="C34" s="30" t="inlineStr"/>
      <c r="D34" s="30" t="inlineStr"/>
      <c r="E34" s="31" t="inlineStr"/>
      <c r="F34" s="30" t="inlineStr"/>
      <c r="G34" s="30" t="inlineStr"/>
      <c r="H34" s="31" t="inlineStr"/>
      <c r="I34" s="31" t="inlineStr"/>
      <c r="J34" s="31" t="inlineStr"/>
      <c r="K34" s="31" t="inlineStr"/>
      <c r="L34" s="31" t="inlineStr"/>
      <c r="M34" s="31" t="inlineStr"/>
      <c r="N34" s="31" t="inlineStr"/>
      <c r="O34" s="31" t="inlineStr"/>
      <c r="P34" s="31" t="inlineStr"/>
      <c r="Q34" s="31" t="inlineStr"/>
      <c r="R34" s="31" t="inlineStr"/>
      <c r="S34" s="31" t="inlineStr"/>
    </row>
    <row r="35" ht="20" customHeight="1">
      <c r="A35" s="30" t="inlineStr"/>
      <c r="B35" s="30" t="inlineStr"/>
      <c r="C35" s="30" t="inlineStr"/>
      <c r="D35" s="30" t="inlineStr"/>
      <c r="E35" s="31" t="inlineStr"/>
      <c r="F35" s="30" t="inlineStr"/>
      <c r="G35" s="30" t="inlineStr"/>
      <c r="H35" s="31" t="inlineStr"/>
      <c r="I35" s="31" t="inlineStr"/>
      <c r="J35" s="31" t="inlineStr"/>
      <c r="K35" s="31" t="inlineStr"/>
      <c r="L35" s="31" t="inlineStr"/>
      <c r="M35" s="31" t="inlineStr"/>
      <c r="N35" s="31" t="inlineStr"/>
      <c r="O35" s="31" t="inlineStr"/>
      <c r="P35" s="31" t="inlineStr"/>
      <c r="Q35" s="31" t="inlineStr"/>
      <c r="R35" s="31" t="inlineStr"/>
      <c r="S35" s="31" t="inlineStr"/>
    </row>
    <row r="36" ht="20" customHeight="1">
      <c r="A36" s="30" t="inlineStr"/>
      <c r="B36" s="30" t="inlineStr"/>
      <c r="C36" s="30" t="inlineStr"/>
      <c r="D36" s="30" t="inlineStr"/>
      <c r="E36" s="31" t="inlineStr"/>
      <c r="F36" s="30" t="inlineStr"/>
      <c r="G36" s="30" t="inlineStr"/>
      <c r="H36" s="31" t="inlineStr"/>
      <c r="I36" s="31" t="inlineStr"/>
      <c r="J36" s="31" t="inlineStr"/>
      <c r="K36" s="31" t="inlineStr"/>
      <c r="L36" s="31" t="inlineStr"/>
      <c r="M36" s="31" t="inlineStr"/>
      <c r="N36" s="31" t="inlineStr"/>
      <c r="O36" s="31" t="inlineStr"/>
      <c r="P36" s="31" t="inlineStr"/>
      <c r="Q36" s="31" t="inlineStr"/>
      <c r="R36" s="31" t="inlineStr"/>
      <c r="S36" s="31" t="inlineStr"/>
    </row>
    <row r="37" ht="20" customHeight="1">
      <c r="A37" s="30" t="inlineStr"/>
      <c r="B37" s="30" t="inlineStr"/>
      <c r="C37" s="30" t="inlineStr"/>
      <c r="D37" s="30" t="inlineStr"/>
      <c r="E37" s="31" t="inlineStr"/>
      <c r="F37" s="30" t="inlineStr"/>
      <c r="G37" s="30" t="inlineStr"/>
      <c r="H37" s="31" t="inlineStr"/>
      <c r="I37" s="31" t="inlineStr"/>
      <c r="J37" s="31" t="inlineStr"/>
      <c r="K37" s="31" t="inlineStr"/>
      <c r="L37" s="31" t="inlineStr"/>
      <c r="M37" s="31" t="inlineStr"/>
      <c r="N37" s="31" t="inlineStr"/>
      <c r="O37" s="31" t="inlineStr"/>
      <c r="P37" s="31" t="inlineStr"/>
      <c r="Q37" s="31" t="inlineStr"/>
      <c r="R37" s="31" t="inlineStr"/>
      <c r="S37" s="31" t="inlineStr"/>
    </row>
    <row r="38" ht="20" customHeight="1">
      <c r="A38" s="30" t="inlineStr"/>
      <c r="B38" s="30" t="inlineStr"/>
      <c r="C38" s="30" t="inlineStr"/>
      <c r="D38" s="30" t="inlineStr"/>
      <c r="E38" s="31" t="inlineStr"/>
      <c r="F38" s="30" t="inlineStr"/>
      <c r="G38" s="30" t="inlineStr"/>
      <c r="H38" s="31" t="inlineStr"/>
      <c r="I38" s="31" t="inlineStr"/>
      <c r="J38" s="31" t="inlineStr"/>
      <c r="K38" s="31" t="inlineStr"/>
      <c r="L38" s="31" t="inlineStr"/>
      <c r="M38" s="31" t="inlineStr"/>
      <c r="N38" s="31" t="inlineStr"/>
      <c r="O38" s="31" t="inlineStr"/>
      <c r="P38" s="31" t="inlineStr"/>
      <c r="Q38" s="31" t="inlineStr"/>
      <c r="R38" s="31" t="inlineStr"/>
      <c r="S38" s="31" t="inlineStr"/>
    </row>
    <row r="39" ht="20" customHeight="1">
      <c r="A39" s="30" t="inlineStr"/>
      <c r="B39" s="30" t="inlineStr"/>
      <c r="C39" s="30" t="inlineStr"/>
      <c r="D39" s="30" t="inlineStr"/>
      <c r="E39" s="31" t="inlineStr"/>
      <c r="F39" s="30" t="inlineStr"/>
      <c r="G39" s="30" t="inlineStr"/>
      <c r="H39" s="31" t="inlineStr"/>
      <c r="I39" s="31" t="inlineStr"/>
      <c r="J39" s="31" t="inlineStr"/>
      <c r="K39" s="31" t="inlineStr"/>
      <c r="L39" s="31" t="inlineStr"/>
      <c r="M39" s="31" t="inlineStr"/>
      <c r="N39" s="31" t="inlineStr"/>
      <c r="O39" s="31" t="inlineStr"/>
      <c r="P39" s="31" t="inlineStr"/>
      <c r="Q39" s="31" t="inlineStr"/>
      <c r="R39" s="31" t="inlineStr"/>
      <c r="S39" s="31" t="inlineStr"/>
    </row>
    <row r="40" ht="20" customHeight="1">
      <c r="A40" s="30" t="inlineStr"/>
      <c r="B40" s="30" t="inlineStr"/>
      <c r="C40" s="30" t="inlineStr"/>
      <c r="D40" s="30" t="inlineStr"/>
      <c r="E40" s="31" t="inlineStr"/>
      <c r="F40" s="30" t="inlineStr"/>
      <c r="G40" s="30" t="inlineStr"/>
      <c r="H40" s="31" t="inlineStr"/>
      <c r="I40" s="31" t="inlineStr"/>
      <c r="J40" s="31" t="inlineStr"/>
      <c r="K40" s="31" t="inlineStr"/>
      <c r="L40" s="31" t="inlineStr"/>
      <c r="M40" s="31" t="inlineStr"/>
      <c r="N40" s="31" t="inlineStr"/>
      <c r="O40" s="31" t="inlineStr"/>
      <c r="P40" s="31" t="inlineStr"/>
      <c r="Q40" s="31" t="inlineStr"/>
      <c r="R40" s="31" t="inlineStr"/>
      <c r="S40" s="31" t="inlineStr"/>
    </row>
    <row r="41" ht="20" customHeight="1">
      <c r="A41" s="30" t="inlineStr"/>
      <c r="B41" s="30" t="inlineStr"/>
      <c r="C41" s="30" t="inlineStr"/>
      <c r="D41" s="30" t="inlineStr"/>
      <c r="E41" s="31" t="inlineStr"/>
      <c r="F41" s="30" t="inlineStr"/>
      <c r="G41" s="30" t="inlineStr"/>
      <c r="H41" s="31" t="inlineStr"/>
      <c r="I41" s="31" t="inlineStr"/>
      <c r="J41" s="31" t="inlineStr"/>
      <c r="K41" s="31" t="inlineStr"/>
      <c r="L41" s="31" t="inlineStr"/>
      <c r="M41" s="31" t="inlineStr"/>
      <c r="N41" s="31" t="inlineStr"/>
      <c r="O41" s="31" t="inlineStr"/>
      <c r="P41" s="31" t="inlineStr"/>
      <c r="Q41" s="31" t="inlineStr"/>
      <c r="R41" s="31" t="inlineStr"/>
      <c r="S41" s="31" t="inlineStr"/>
    </row>
    <row r="42" ht="20" customHeight="1">
      <c r="A42" s="30" t="inlineStr"/>
      <c r="B42" s="30" t="inlineStr"/>
      <c r="C42" s="30" t="inlineStr"/>
      <c r="D42" s="30" t="inlineStr"/>
      <c r="E42" s="31" t="inlineStr"/>
      <c r="F42" s="30" t="inlineStr"/>
      <c r="G42" s="30" t="inlineStr"/>
      <c r="H42" s="31" t="inlineStr"/>
      <c r="I42" s="31" t="inlineStr"/>
      <c r="J42" s="31" t="inlineStr"/>
      <c r="K42" s="31" t="inlineStr"/>
      <c r="L42" s="31" t="inlineStr"/>
      <c r="M42" s="31" t="inlineStr"/>
      <c r="N42" s="31" t="inlineStr"/>
      <c r="O42" s="31" t="inlineStr"/>
      <c r="P42" s="31" t="inlineStr"/>
      <c r="Q42" s="31" t="inlineStr"/>
      <c r="R42" s="31" t="inlineStr"/>
      <c r="S42" s="31" t="inlineStr"/>
    </row>
    <row r="43" ht="20" customHeight="1">
      <c r="A43" s="30" t="inlineStr"/>
      <c r="B43" s="30" t="inlineStr"/>
      <c r="C43" s="30" t="inlineStr"/>
      <c r="D43" s="30" t="inlineStr"/>
      <c r="E43" s="31" t="inlineStr"/>
      <c r="F43" s="30" t="inlineStr"/>
      <c r="G43" s="30" t="inlineStr"/>
      <c r="H43" s="31" t="inlineStr"/>
      <c r="I43" s="31" t="inlineStr"/>
      <c r="J43" s="31" t="inlineStr"/>
      <c r="K43" s="31" t="inlineStr"/>
      <c r="L43" s="31" t="inlineStr"/>
      <c r="M43" s="31" t="inlineStr"/>
      <c r="N43" s="31" t="inlineStr"/>
      <c r="O43" s="31" t="inlineStr"/>
      <c r="P43" s="31" t="inlineStr"/>
      <c r="Q43" s="31" t="inlineStr"/>
      <c r="R43" s="31" t="inlineStr"/>
      <c r="S43" s="31" t="inlineStr"/>
    </row>
    <row r="44" ht="20" customHeight="1">
      <c r="A44" s="30" t="inlineStr"/>
      <c r="B44" s="30" t="inlineStr"/>
      <c r="C44" s="30" t="inlineStr"/>
      <c r="D44" s="30" t="inlineStr"/>
      <c r="E44" s="31" t="inlineStr"/>
      <c r="F44" s="30" t="inlineStr"/>
      <c r="G44" s="30" t="inlineStr"/>
      <c r="H44" s="31" t="inlineStr"/>
      <c r="I44" s="31" t="inlineStr"/>
      <c r="J44" s="31" t="inlineStr"/>
      <c r="K44" s="31" t="inlineStr"/>
      <c r="L44" s="31" t="inlineStr"/>
      <c r="M44" s="31" t="inlineStr"/>
      <c r="N44" s="31" t="inlineStr"/>
      <c r="O44" s="31" t="inlineStr"/>
      <c r="P44" s="31" t="inlineStr"/>
      <c r="Q44" s="31" t="inlineStr"/>
      <c r="R44" s="31" t="inlineStr"/>
      <c r="S44" s="31" t="inlineStr"/>
    </row>
    <row r="45" ht="20" customHeight="1">
      <c r="A45" s="30" t="inlineStr"/>
      <c r="B45" s="30" t="inlineStr"/>
      <c r="C45" s="30" t="inlineStr"/>
      <c r="D45" s="30" t="inlineStr"/>
      <c r="E45" s="31" t="inlineStr"/>
      <c r="F45" s="30" t="inlineStr"/>
      <c r="G45" s="30" t="inlineStr"/>
      <c r="H45" s="31" t="inlineStr"/>
      <c r="I45" s="31" t="inlineStr"/>
      <c r="J45" s="31" t="inlineStr"/>
      <c r="K45" s="31" t="inlineStr"/>
      <c r="L45" s="31" t="inlineStr"/>
      <c r="M45" s="31" t="inlineStr"/>
      <c r="N45" s="31" t="inlineStr"/>
      <c r="O45" s="31" t="inlineStr"/>
      <c r="P45" s="31" t="inlineStr"/>
      <c r="Q45" s="31" t="inlineStr"/>
      <c r="R45" s="31" t="inlineStr"/>
      <c r="S45" s="31" t="inlineStr"/>
    </row>
    <row r="46" ht="20" customHeight="1">
      <c r="A46" s="30" t="inlineStr"/>
      <c r="B46" s="30" t="inlineStr"/>
      <c r="C46" s="30" t="inlineStr"/>
      <c r="D46" s="30" t="inlineStr"/>
      <c r="E46" s="31" t="inlineStr"/>
      <c r="F46" s="30" t="inlineStr"/>
      <c r="G46" s="30" t="inlineStr"/>
      <c r="H46" s="31" t="inlineStr"/>
      <c r="I46" s="31" t="inlineStr"/>
      <c r="J46" s="31" t="inlineStr"/>
      <c r="K46" s="31" t="inlineStr"/>
      <c r="L46" s="31" t="inlineStr"/>
      <c r="M46" s="31" t="inlineStr"/>
      <c r="N46" s="31" t="inlineStr"/>
      <c r="O46" s="31" t="inlineStr"/>
      <c r="P46" s="31" t="inlineStr"/>
      <c r="Q46" s="31" t="inlineStr"/>
      <c r="R46" s="31" t="inlineStr"/>
      <c r="S46" s="31" t="inlineStr"/>
    </row>
    <row r="47" ht="20" customHeight="1">
      <c r="A47" s="30" t="inlineStr"/>
      <c r="B47" s="30" t="inlineStr"/>
      <c r="C47" s="30" t="inlineStr"/>
      <c r="D47" s="30" t="inlineStr"/>
      <c r="E47" s="31" t="inlineStr"/>
      <c r="F47" s="30" t="inlineStr"/>
      <c r="G47" s="30" t="inlineStr"/>
      <c r="H47" s="31" t="inlineStr"/>
      <c r="I47" s="31" t="inlineStr"/>
      <c r="J47" s="31" t="inlineStr"/>
      <c r="K47" s="31" t="inlineStr"/>
      <c r="L47" s="31" t="inlineStr"/>
      <c r="M47" s="31" t="inlineStr"/>
      <c r="N47" s="31" t="inlineStr"/>
      <c r="O47" s="31" t="inlineStr"/>
      <c r="P47" s="31" t="inlineStr"/>
      <c r="Q47" s="31" t="inlineStr"/>
      <c r="R47" s="31" t="inlineStr"/>
      <c r="S47" s="31" t="inlineStr"/>
    </row>
    <row r="48" ht="20" customHeight="1">
      <c r="A48" s="30" t="inlineStr"/>
      <c r="B48" s="30" t="inlineStr"/>
      <c r="C48" s="30" t="inlineStr"/>
      <c r="D48" s="30" t="inlineStr"/>
      <c r="E48" s="31" t="inlineStr"/>
      <c r="F48" s="30" t="inlineStr"/>
      <c r="G48" s="30" t="inlineStr"/>
      <c r="H48" s="31" t="inlineStr"/>
      <c r="I48" s="31" t="inlineStr"/>
      <c r="J48" s="31" t="inlineStr"/>
      <c r="K48" s="31" t="inlineStr"/>
      <c r="L48" s="31" t="inlineStr"/>
      <c r="M48" s="31" t="inlineStr"/>
      <c r="N48" s="31" t="inlineStr"/>
      <c r="O48" s="31" t="inlineStr"/>
      <c r="P48" s="31" t="inlineStr"/>
      <c r="Q48" s="31" t="inlineStr"/>
      <c r="R48" s="31" t="inlineStr"/>
      <c r="S48" s="31" t="inlineStr"/>
    </row>
    <row r="49" ht="20" customHeight="1">
      <c r="A49" s="30" t="inlineStr"/>
      <c r="B49" s="30" t="inlineStr"/>
      <c r="C49" s="30" t="inlineStr"/>
      <c r="D49" s="30" t="inlineStr"/>
      <c r="E49" s="31" t="inlineStr"/>
      <c r="F49" s="30" t="inlineStr"/>
      <c r="G49" s="30" t="inlineStr"/>
      <c r="H49" s="31" t="inlineStr"/>
      <c r="I49" s="31" t="inlineStr"/>
      <c r="J49" s="31" t="inlineStr"/>
      <c r="K49" s="31" t="inlineStr"/>
      <c r="L49" s="31" t="inlineStr"/>
      <c r="M49" s="31" t="inlineStr"/>
      <c r="N49" s="31" t="inlineStr"/>
      <c r="O49" s="31" t="inlineStr"/>
      <c r="P49" s="31" t="inlineStr"/>
      <c r="Q49" s="31" t="inlineStr"/>
      <c r="R49" s="31" t="inlineStr"/>
      <c r="S49" s="31" t="inlineStr"/>
    </row>
    <row r="50" ht="20" customHeight="1">
      <c r="A50" s="30" t="inlineStr"/>
      <c r="B50" s="30" t="inlineStr"/>
      <c r="C50" s="30" t="inlineStr"/>
      <c r="D50" s="30" t="inlineStr"/>
      <c r="E50" s="31" t="inlineStr"/>
      <c r="F50" s="30" t="inlineStr"/>
      <c r="G50" s="30" t="inlineStr"/>
      <c r="H50" s="31" t="inlineStr"/>
      <c r="I50" s="31" t="inlineStr"/>
      <c r="J50" s="31" t="inlineStr"/>
      <c r="K50" s="31" t="inlineStr"/>
      <c r="L50" s="31" t="inlineStr"/>
      <c r="M50" s="31" t="inlineStr"/>
      <c r="N50" s="31" t="inlineStr"/>
      <c r="O50" s="31" t="inlineStr"/>
      <c r="P50" s="31" t="inlineStr"/>
      <c r="Q50" s="31" t="inlineStr"/>
      <c r="R50" s="31" t="inlineStr"/>
      <c r="S50" s="31" t="inlineStr"/>
    </row>
    <row r="51" ht="20" customHeight="1">
      <c r="A51" s="30" t="inlineStr"/>
      <c r="B51" s="30" t="inlineStr"/>
      <c r="C51" s="30" t="inlineStr"/>
      <c r="D51" s="30" t="inlineStr"/>
      <c r="E51" s="31" t="inlineStr"/>
      <c r="F51" s="30" t="inlineStr"/>
      <c r="G51" s="30" t="inlineStr"/>
      <c r="H51" s="31" t="inlineStr"/>
      <c r="I51" s="31" t="inlineStr"/>
      <c r="J51" s="31" t="inlineStr"/>
      <c r="K51" s="31" t="inlineStr"/>
      <c r="L51" s="31" t="inlineStr"/>
      <c r="M51" s="31" t="inlineStr"/>
      <c r="N51" s="31" t="inlineStr"/>
      <c r="O51" s="31" t="inlineStr"/>
      <c r="P51" s="31" t="inlineStr"/>
      <c r="Q51" s="31" t="inlineStr"/>
      <c r="R51" s="31" t="inlineStr"/>
      <c r="S51" s="31" t="inlineStr"/>
    </row>
    <row r="52" ht="20" customHeight="1">
      <c r="A52" s="30" t="inlineStr"/>
      <c r="B52" s="30" t="inlineStr"/>
      <c r="C52" s="30" t="inlineStr"/>
      <c r="D52" s="30" t="inlineStr"/>
      <c r="E52" s="31" t="inlineStr"/>
      <c r="F52" s="30" t="inlineStr"/>
      <c r="G52" s="30" t="inlineStr"/>
      <c r="H52" s="31" t="inlineStr"/>
      <c r="I52" s="31" t="inlineStr"/>
      <c r="J52" s="31" t="inlineStr"/>
      <c r="K52" s="31" t="inlineStr"/>
      <c r="L52" s="31" t="inlineStr"/>
      <c r="M52" s="31" t="inlineStr"/>
      <c r="N52" s="31" t="inlineStr"/>
      <c r="O52" s="31" t="inlineStr"/>
      <c r="P52" s="31" t="inlineStr"/>
      <c r="Q52" s="31" t="inlineStr"/>
      <c r="R52" s="31" t="inlineStr"/>
      <c r="S52" s="31" t="inlineStr"/>
    </row>
    <row r="53" ht="20" customHeight="1">
      <c r="A53" s="30" t="inlineStr"/>
      <c r="B53" s="30" t="inlineStr"/>
      <c r="C53" s="30" t="inlineStr"/>
      <c r="D53" s="30" t="inlineStr"/>
      <c r="E53" s="31" t="inlineStr"/>
      <c r="F53" s="30" t="inlineStr"/>
      <c r="G53" s="30" t="inlineStr"/>
      <c r="H53" s="31" t="inlineStr"/>
      <c r="I53" s="31" t="inlineStr"/>
      <c r="J53" s="31" t="inlineStr"/>
      <c r="K53" s="31" t="inlineStr"/>
      <c r="L53" s="31" t="inlineStr"/>
      <c r="M53" s="31" t="inlineStr"/>
      <c r="N53" s="31" t="inlineStr"/>
      <c r="O53" s="31" t="inlineStr"/>
      <c r="P53" s="31" t="inlineStr"/>
      <c r="Q53" s="31" t="inlineStr"/>
      <c r="R53" s="31" t="inlineStr"/>
      <c r="S53" s="31" t="inlineStr"/>
    </row>
    <row r="54" ht="20" customHeight="1">
      <c r="A54" s="30" t="inlineStr"/>
      <c r="B54" s="30" t="inlineStr"/>
      <c r="C54" s="30" t="inlineStr"/>
      <c r="D54" s="30" t="inlineStr"/>
      <c r="E54" s="31" t="inlineStr"/>
      <c r="F54" s="30" t="inlineStr"/>
      <c r="G54" s="30" t="inlineStr"/>
      <c r="H54" s="31" t="inlineStr"/>
      <c r="I54" s="31" t="inlineStr"/>
      <c r="J54" s="31" t="inlineStr"/>
      <c r="K54" s="31" t="inlineStr"/>
      <c r="L54" s="31" t="inlineStr"/>
      <c r="M54" s="31" t="inlineStr"/>
      <c r="N54" s="31" t="inlineStr"/>
      <c r="O54" s="31" t="inlineStr"/>
      <c r="P54" s="31" t="inlineStr"/>
      <c r="Q54" s="31" t="inlineStr"/>
      <c r="R54" s="31" t="inlineStr"/>
      <c r="S54" s="31" t="inlineStr"/>
    </row>
    <row r="55" ht="20" customHeight="1">
      <c r="A55" s="30" t="inlineStr"/>
      <c r="B55" s="30" t="inlineStr"/>
      <c r="C55" s="30" t="inlineStr"/>
      <c r="D55" s="30" t="inlineStr"/>
      <c r="E55" s="31" t="inlineStr"/>
      <c r="F55" s="30" t="inlineStr"/>
      <c r="G55" s="30" t="inlineStr"/>
      <c r="H55" s="31" t="inlineStr"/>
      <c r="I55" s="31" t="inlineStr"/>
      <c r="J55" s="31" t="inlineStr"/>
      <c r="K55" s="31" t="inlineStr"/>
      <c r="L55" s="31" t="inlineStr"/>
      <c r="M55" s="31" t="inlineStr"/>
      <c r="N55" s="31" t="inlineStr"/>
      <c r="O55" s="31" t="inlineStr"/>
      <c r="P55" s="31" t="inlineStr"/>
      <c r="Q55" s="31" t="inlineStr"/>
      <c r="R55" s="31" t="inlineStr"/>
      <c r="S55" s="31" t="inlineStr"/>
    </row>
    <row r="56" ht="20" customHeight="1">
      <c r="A56" s="30" t="inlineStr"/>
      <c r="B56" s="30" t="inlineStr"/>
      <c r="C56" s="30" t="inlineStr"/>
      <c r="D56" s="30" t="inlineStr"/>
      <c r="E56" s="31" t="inlineStr"/>
      <c r="F56" s="30" t="inlineStr"/>
      <c r="G56" s="30" t="inlineStr"/>
      <c r="H56" s="31" t="inlineStr"/>
      <c r="I56" s="31" t="inlineStr"/>
      <c r="J56" s="31" t="inlineStr"/>
      <c r="K56" s="31" t="inlineStr"/>
      <c r="L56" s="31" t="inlineStr"/>
      <c r="M56" s="31" t="inlineStr"/>
      <c r="N56" s="31" t="inlineStr"/>
      <c r="O56" s="31" t="inlineStr"/>
      <c r="P56" s="31" t="inlineStr"/>
      <c r="Q56" s="31" t="inlineStr"/>
      <c r="R56" s="31" t="inlineStr"/>
      <c r="S56" s="31" t="inlineStr"/>
    </row>
    <row r="57" ht="20" customHeight="1">
      <c r="A57" s="30" t="inlineStr"/>
      <c r="B57" s="30" t="inlineStr"/>
      <c r="C57" s="30" t="inlineStr"/>
      <c r="D57" s="30" t="inlineStr"/>
      <c r="E57" s="31" t="inlineStr"/>
      <c r="F57" s="30" t="inlineStr"/>
      <c r="G57" s="30" t="inlineStr"/>
      <c r="H57" s="31" t="inlineStr"/>
      <c r="I57" s="31" t="inlineStr"/>
      <c r="J57" s="31" t="inlineStr"/>
      <c r="K57" s="31" t="inlineStr"/>
      <c r="L57" s="31" t="inlineStr"/>
      <c r="M57" s="31" t="inlineStr"/>
      <c r="N57" s="31" t="inlineStr"/>
      <c r="O57" s="31" t="inlineStr"/>
      <c r="P57" s="31" t="inlineStr"/>
      <c r="Q57" s="31" t="inlineStr"/>
      <c r="R57" s="31" t="inlineStr"/>
      <c r="S57" s="31" t="inlineStr"/>
    </row>
    <row r="58" ht="20" customHeight="1">
      <c r="A58" s="30" t="inlineStr"/>
      <c r="B58" s="30" t="inlineStr"/>
      <c r="C58" s="30" t="inlineStr"/>
      <c r="D58" s="30" t="inlineStr"/>
      <c r="E58" s="31" t="inlineStr"/>
      <c r="F58" s="30" t="inlineStr"/>
      <c r="G58" s="30" t="inlineStr"/>
      <c r="H58" s="31" t="inlineStr"/>
      <c r="I58" s="31" t="inlineStr"/>
      <c r="J58" s="31" t="inlineStr"/>
      <c r="K58" s="31" t="inlineStr"/>
      <c r="L58" s="31" t="inlineStr"/>
      <c r="M58" s="31" t="inlineStr"/>
      <c r="N58" s="31" t="inlineStr"/>
      <c r="O58" s="31" t="inlineStr"/>
      <c r="P58" s="31" t="inlineStr"/>
      <c r="Q58" s="31" t="inlineStr"/>
      <c r="R58" s="31" t="inlineStr"/>
      <c r="S58" s="31" t="inlineStr"/>
    </row>
    <row r="59" ht="20" customHeight="1">
      <c r="A59" s="30" t="inlineStr"/>
      <c r="B59" s="30" t="inlineStr"/>
      <c r="C59" s="30" t="inlineStr"/>
      <c r="D59" s="30" t="inlineStr"/>
      <c r="E59" s="31" t="inlineStr"/>
      <c r="F59" s="30" t="inlineStr"/>
      <c r="G59" s="30" t="inlineStr"/>
      <c r="H59" s="31" t="inlineStr"/>
      <c r="I59" s="31" t="inlineStr"/>
      <c r="J59" s="31" t="inlineStr"/>
      <c r="K59" s="31" t="inlineStr"/>
      <c r="L59" s="31" t="inlineStr"/>
      <c r="M59" s="31" t="inlineStr"/>
      <c r="N59" s="31" t="inlineStr"/>
      <c r="O59" s="31" t="inlineStr"/>
      <c r="P59" s="31" t="inlineStr"/>
      <c r="Q59" s="31" t="inlineStr"/>
      <c r="R59" s="31" t="inlineStr"/>
      <c r="S59" s="31" t="inlineStr"/>
    </row>
    <row r="60" ht="20" customHeight="1">
      <c r="A60" s="30" t="inlineStr"/>
      <c r="B60" s="30" t="inlineStr"/>
      <c r="C60" s="30" t="inlineStr"/>
      <c r="D60" s="30" t="inlineStr"/>
      <c r="E60" s="31" t="inlineStr"/>
      <c r="F60" s="30" t="inlineStr"/>
      <c r="G60" s="30" t="inlineStr"/>
      <c r="H60" s="31" t="inlineStr"/>
      <c r="I60" s="31" t="inlineStr"/>
      <c r="J60" s="31" t="inlineStr"/>
      <c r="K60" s="31" t="inlineStr"/>
      <c r="L60" s="31" t="inlineStr"/>
      <c r="M60" s="31" t="inlineStr"/>
      <c r="N60" s="31" t="inlineStr"/>
      <c r="O60" s="31" t="inlineStr"/>
      <c r="P60" s="31" t="inlineStr"/>
      <c r="Q60" s="31" t="inlineStr"/>
      <c r="R60" s="31" t="inlineStr"/>
      <c r="S60" s="31" t="inlineStr"/>
    </row>
    <row r="61" ht="20" customHeight="1">
      <c r="A61" s="30" t="inlineStr"/>
      <c r="B61" s="30" t="inlineStr"/>
      <c r="C61" s="30" t="inlineStr"/>
      <c r="D61" s="30" t="inlineStr"/>
      <c r="E61" s="31" t="inlineStr"/>
      <c r="F61" s="30" t="inlineStr"/>
      <c r="G61" s="30" t="inlineStr"/>
      <c r="H61" s="31" t="inlineStr"/>
      <c r="I61" s="31" t="inlineStr"/>
      <c r="J61" s="31" t="inlineStr"/>
      <c r="K61" s="31" t="inlineStr"/>
      <c r="L61" s="31" t="inlineStr"/>
      <c r="M61" s="31" t="inlineStr"/>
      <c r="N61" s="31" t="inlineStr"/>
      <c r="O61" s="31" t="inlineStr"/>
      <c r="P61" s="31" t="inlineStr"/>
      <c r="Q61" s="31" t="inlineStr"/>
      <c r="R61" s="31" t="inlineStr"/>
      <c r="S61" s="31" t="inlineStr"/>
    </row>
    <row r="62" ht="20" customHeight="1">
      <c r="A62" s="30" t="inlineStr"/>
      <c r="B62" s="30" t="inlineStr"/>
      <c r="C62" s="30" t="inlineStr"/>
      <c r="D62" s="30" t="inlineStr"/>
      <c r="E62" s="31" t="inlineStr"/>
      <c r="F62" s="30" t="inlineStr"/>
      <c r="G62" s="30" t="inlineStr"/>
      <c r="H62" s="31" t="inlineStr"/>
      <c r="I62" s="31" t="inlineStr"/>
      <c r="J62" s="31" t="inlineStr"/>
      <c r="K62" s="31" t="inlineStr"/>
      <c r="L62" s="31" t="inlineStr"/>
      <c r="M62" s="31" t="inlineStr"/>
      <c r="N62" s="31" t="inlineStr"/>
      <c r="O62" s="31" t="inlineStr"/>
      <c r="P62" s="31" t="inlineStr"/>
      <c r="Q62" s="31" t="inlineStr"/>
      <c r="R62" s="31" t="inlineStr"/>
      <c r="S62" s="31" t="inlineStr"/>
    </row>
    <row r="63" ht="20" customHeight="1">
      <c r="A63" s="30" t="inlineStr"/>
      <c r="B63" s="30" t="inlineStr"/>
      <c r="C63" s="30" t="inlineStr"/>
      <c r="D63" s="30" t="inlineStr"/>
      <c r="E63" s="31" t="inlineStr"/>
      <c r="F63" s="30" t="inlineStr"/>
      <c r="G63" s="30" t="inlineStr"/>
      <c r="H63" s="31" t="inlineStr"/>
      <c r="I63" s="31" t="inlineStr"/>
      <c r="J63" s="31" t="inlineStr"/>
      <c r="K63" s="31" t="inlineStr"/>
      <c r="L63" s="31" t="inlineStr"/>
      <c r="M63" s="31" t="inlineStr"/>
      <c r="N63" s="31" t="inlineStr"/>
      <c r="O63" s="31" t="inlineStr"/>
      <c r="P63" s="31" t="inlineStr"/>
      <c r="Q63" s="31" t="inlineStr"/>
      <c r="R63" s="31" t="inlineStr"/>
      <c r="S63" s="31" t="inlineStr"/>
    </row>
    <row r="64" ht="20" customHeight="1">
      <c r="A64" s="30" t="inlineStr"/>
      <c r="B64" s="30" t="inlineStr"/>
      <c r="C64" s="30" t="inlineStr"/>
      <c r="D64" s="30" t="inlineStr"/>
      <c r="E64" s="31" t="inlineStr"/>
      <c r="F64" s="30" t="inlineStr"/>
      <c r="G64" s="30" t="inlineStr"/>
      <c r="H64" s="31" t="inlineStr"/>
      <c r="I64" s="31" t="inlineStr"/>
      <c r="J64" s="31" t="inlineStr"/>
      <c r="K64" s="31" t="inlineStr"/>
      <c r="L64" s="31" t="inlineStr"/>
      <c r="M64" s="31" t="inlineStr"/>
      <c r="N64" s="31" t="inlineStr"/>
      <c r="O64" s="31" t="inlineStr"/>
      <c r="P64" s="31" t="inlineStr"/>
      <c r="Q64" s="31" t="inlineStr"/>
      <c r="R64" s="31" t="inlineStr"/>
      <c r="S64" s="31" t="inlineStr"/>
    </row>
    <row r="65" ht="20" customHeight="1">
      <c r="A65" s="30" t="inlineStr"/>
      <c r="B65" s="30" t="inlineStr"/>
      <c r="C65" s="30" t="inlineStr"/>
      <c r="D65" s="30" t="inlineStr"/>
      <c r="E65" s="31" t="inlineStr"/>
      <c r="F65" s="30" t="inlineStr"/>
      <c r="G65" s="30" t="inlineStr"/>
      <c r="H65" s="31" t="inlineStr"/>
      <c r="I65" s="31" t="inlineStr"/>
      <c r="J65" s="31" t="inlineStr"/>
      <c r="K65" s="31" t="inlineStr"/>
      <c r="L65" s="31" t="inlineStr"/>
      <c r="M65" s="31" t="inlineStr"/>
      <c r="N65" s="31" t="inlineStr"/>
      <c r="O65" s="31" t="inlineStr"/>
      <c r="P65" s="31" t="inlineStr"/>
      <c r="Q65" s="31" t="inlineStr"/>
      <c r="R65" s="31" t="inlineStr"/>
      <c r="S65" s="31" t="inlineStr"/>
    </row>
    <row r="66" ht="20" customHeight="1">
      <c r="A66" s="30" t="inlineStr"/>
      <c r="B66" s="30" t="inlineStr"/>
      <c r="C66" s="30" t="inlineStr"/>
      <c r="D66" s="30" t="inlineStr"/>
      <c r="E66" s="31" t="inlineStr"/>
      <c r="F66" s="30" t="inlineStr"/>
      <c r="G66" s="30" t="inlineStr"/>
      <c r="H66" s="31" t="inlineStr"/>
      <c r="I66" s="31" t="inlineStr"/>
      <c r="J66" s="31" t="inlineStr"/>
      <c r="K66" s="31" t="inlineStr"/>
      <c r="L66" s="31" t="inlineStr"/>
      <c r="M66" s="31" t="inlineStr"/>
      <c r="N66" s="31" t="inlineStr"/>
      <c r="O66" s="31" t="inlineStr"/>
      <c r="P66" s="31" t="inlineStr"/>
      <c r="Q66" s="31" t="inlineStr"/>
      <c r="R66" s="31" t="inlineStr"/>
      <c r="S66" s="31" t="inlineStr"/>
    </row>
    <row r="67" ht="20" customHeight="1">
      <c r="A67" s="30" t="inlineStr"/>
      <c r="B67" s="30" t="inlineStr"/>
      <c r="C67" s="30" t="inlineStr"/>
      <c r="D67" s="30" t="inlineStr"/>
      <c r="E67" s="31" t="inlineStr"/>
      <c r="F67" s="30" t="inlineStr"/>
      <c r="G67" s="30" t="inlineStr"/>
      <c r="H67" s="31" t="inlineStr"/>
      <c r="I67" s="31" t="inlineStr"/>
      <c r="J67" s="31" t="inlineStr"/>
      <c r="K67" s="31" t="inlineStr"/>
      <c r="L67" s="31" t="inlineStr"/>
      <c r="M67" s="31" t="inlineStr"/>
      <c r="N67" s="31" t="inlineStr"/>
      <c r="O67" s="31" t="inlineStr"/>
      <c r="P67" s="31" t="inlineStr"/>
      <c r="Q67" s="31" t="inlineStr"/>
      <c r="R67" s="31" t="inlineStr"/>
      <c r="S67" s="31" t="inlineStr"/>
    </row>
    <row r="68" ht="20" customHeight="1">
      <c r="A68" s="30" t="inlineStr"/>
      <c r="B68" s="30" t="inlineStr"/>
      <c r="C68" s="30" t="inlineStr"/>
      <c r="D68" s="30" t="inlineStr"/>
      <c r="E68" s="31" t="inlineStr"/>
      <c r="F68" s="30" t="inlineStr"/>
      <c r="G68" s="30" t="inlineStr"/>
      <c r="H68" s="31" t="inlineStr"/>
      <c r="I68" s="31" t="inlineStr"/>
      <c r="J68" s="31" t="inlineStr"/>
      <c r="K68" s="31" t="inlineStr"/>
      <c r="L68" s="31" t="inlineStr"/>
      <c r="M68" s="31" t="inlineStr"/>
      <c r="N68" s="31" t="inlineStr"/>
      <c r="O68" s="31" t="inlineStr"/>
      <c r="P68" s="31" t="inlineStr"/>
      <c r="Q68" s="31" t="inlineStr"/>
      <c r="R68" s="31" t="inlineStr"/>
      <c r="S68" s="31" t="inlineStr"/>
    </row>
    <row r="69" ht="20" customHeight="1">
      <c r="A69" s="30" t="inlineStr"/>
      <c r="B69" s="30" t="inlineStr"/>
      <c r="C69" s="30" t="inlineStr"/>
      <c r="D69" s="30" t="inlineStr"/>
      <c r="E69" s="31" t="inlineStr"/>
      <c r="F69" s="30" t="inlineStr"/>
      <c r="G69" s="30" t="inlineStr"/>
      <c r="H69" s="31" t="inlineStr"/>
      <c r="I69" s="31" t="inlineStr"/>
      <c r="J69" s="31" t="inlineStr"/>
      <c r="K69" s="31" t="inlineStr"/>
      <c r="L69" s="31" t="inlineStr"/>
      <c r="M69" s="31" t="inlineStr"/>
      <c r="N69" s="31" t="inlineStr"/>
      <c r="O69" s="31" t="inlineStr"/>
      <c r="P69" s="31" t="inlineStr"/>
      <c r="Q69" s="31" t="inlineStr"/>
      <c r="R69" s="31" t="inlineStr"/>
      <c r="S69" s="31" t="inlineStr"/>
    </row>
    <row r="70" ht="20" customHeight="1">
      <c r="A70" s="30" t="inlineStr"/>
      <c r="B70" s="30" t="inlineStr"/>
      <c r="C70" s="30" t="inlineStr"/>
      <c r="D70" s="30" t="inlineStr"/>
      <c r="E70" s="31" t="inlineStr"/>
      <c r="F70" s="30" t="inlineStr"/>
      <c r="G70" s="30" t="inlineStr"/>
      <c r="H70" s="31" t="inlineStr"/>
      <c r="I70" s="31" t="inlineStr"/>
      <c r="J70" s="31" t="inlineStr"/>
      <c r="K70" s="31" t="inlineStr"/>
      <c r="L70" s="31" t="inlineStr"/>
      <c r="M70" s="31" t="inlineStr"/>
      <c r="N70" s="31" t="inlineStr"/>
      <c r="O70" s="31" t="inlineStr"/>
      <c r="P70" s="31" t="inlineStr"/>
      <c r="Q70" s="31" t="inlineStr"/>
      <c r="R70" s="31" t="inlineStr"/>
      <c r="S70" s="31" t="inlineStr"/>
    </row>
    <row r="71" ht="20" customHeight="1">
      <c r="A71" s="30" t="inlineStr"/>
      <c r="B71" s="30" t="inlineStr"/>
      <c r="C71" s="30" t="inlineStr"/>
      <c r="D71" s="30" t="inlineStr"/>
      <c r="E71" s="31" t="inlineStr"/>
      <c r="F71" s="30" t="inlineStr"/>
      <c r="G71" s="30" t="inlineStr"/>
      <c r="H71" s="31" t="inlineStr"/>
      <c r="I71" s="31" t="inlineStr"/>
      <c r="J71" s="31" t="inlineStr"/>
      <c r="K71" s="31" t="inlineStr"/>
      <c r="L71" s="31" t="inlineStr"/>
      <c r="M71" s="31" t="inlineStr"/>
      <c r="N71" s="31" t="inlineStr"/>
      <c r="O71" s="31" t="inlineStr"/>
      <c r="P71" s="31" t="inlineStr"/>
      <c r="Q71" s="31" t="inlineStr"/>
      <c r="R71" s="31" t="inlineStr"/>
      <c r="S71" s="31" t="inlineStr"/>
    </row>
    <row r="72" ht="20" customHeight="1">
      <c r="A72" s="30" t="inlineStr"/>
      <c r="B72" s="30" t="inlineStr"/>
      <c r="C72" s="30" t="inlineStr"/>
      <c r="D72" s="30" t="inlineStr"/>
      <c r="E72" s="31" t="inlineStr"/>
      <c r="F72" s="30" t="inlineStr"/>
      <c r="G72" s="30" t="inlineStr"/>
      <c r="H72" s="31" t="inlineStr"/>
      <c r="I72" s="31" t="inlineStr"/>
      <c r="J72" s="31" t="inlineStr"/>
      <c r="K72" s="31" t="inlineStr"/>
      <c r="L72" s="31" t="inlineStr"/>
      <c r="M72" s="31" t="inlineStr"/>
      <c r="N72" s="31" t="inlineStr"/>
      <c r="O72" s="31" t="inlineStr"/>
      <c r="P72" s="31" t="inlineStr"/>
      <c r="Q72" s="31" t="inlineStr"/>
      <c r="R72" s="31" t="inlineStr"/>
      <c r="S72" s="31" t="inlineStr"/>
    </row>
    <row r="73" ht="20" customHeight="1">
      <c r="A73" s="30" t="inlineStr"/>
      <c r="B73" s="30" t="inlineStr"/>
      <c r="C73" s="30" t="inlineStr"/>
      <c r="D73" s="30" t="inlineStr"/>
      <c r="E73" s="31" t="inlineStr"/>
      <c r="F73" s="30" t="inlineStr"/>
      <c r="G73" s="30" t="inlineStr"/>
      <c r="H73" s="31" t="inlineStr"/>
      <c r="I73" s="31" t="inlineStr"/>
      <c r="J73" s="31" t="inlineStr"/>
      <c r="K73" s="31" t="inlineStr"/>
      <c r="L73" s="31" t="inlineStr"/>
      <c r="M73" s="31" t="inlineStr"/>
      <c r="N73" s="31" t="inlineStr"/>
      <c r="O73" s="31" t="inlineStr"/>
      <c r="P73" s="31" t="inlineStr"/>
      <c r="Q73" s="31" t="inlineStr"/>
      <c r="R73" s="31" t="inlineStr"/>
      <c r="S73" s="31" t="inlineStr"/>
    </row>
    <row r="74" ht="20" customHeight="1">
      <c r="A74" s="30" t="inlineStr"/>
      <c r="B74" s="30" t="inlineStr"/>
      <c r="C74" s="30" t="inlineStr"/>
      <c r="D74" s="30" t="inlineStr"/>
      <c r="E74" s="31" t="inlineStr"/>
      <c r="F74" s="30" t="inlineStr"/>
      <c r="G74" s="30" t="inlineStr"/>
      <c r="H74" s="31" t="inlineStr"/>
      <c r="I74" s="31" t="inlineStr"/>
      <c r="J74" s="31" t="inlineStr"/>
      <c r="K74" s="31" t="inlineStr"/>
      <c r="L74" s="31" t="inlineStr"/>
      <c r="M74" s="31" t="inlineStr"/>
      <c r="N74" s="31" t="inlineStr"/>
      <c r="O74" s="31" t="inlineStr"/>
      <c r="P74" s="31" t="inlineStr"/>
      <c r="Q74" s="31" t="inlineStr"/>
      <c r="R74" s="31" t="inlineStr"/>
      <c r="S74" s="31" t="inlineStr"/>
    </row>
    <row r="75" ht="20" customHeight="1">
      <c r="A75" s="30" t="inlineStr"/>
      <c r="B75" s="30" t="inlineStr"/>
      <c r="C75" s="30" t="inlineStr"/>
      <c r="D75" s="30" t="inlineStr"/>
      <c r="E75" s="31" t="inlineStr"/>
      <c r="F75" s="30" t="inlineStr"/>
      <c r="G75" s="30" t="inlineStr"/>
      <c r="H75" s="31" t="inlineStr"/>
      <c r="I75" s="31" t="inlineStr"/>
      <c r="J75" s="31" t="inlineStr"/>
      <c r="K75" s="31" t="inlineStr"/>
      <c r="L75" s="31" t="inlineStr"/>
      <c r="M75" s="31" t="inlineStr"/>
      <c r="N75" s="31" t="inlineStr"/>
      <c r="O75" s="31" t="inlineStr"/>
      <c r="P75" s="31" t="inlineStr"/>
      <c r="Q75" s="31" t="inlineStr"/>
      <c r="R75" s="31" t="inlineStr"/>
      <c r="S75" s="31" t="inlineStr"/>
    </row>
    <row r="76" ht="20" customHeight="1">
      <c r="A76" s="30" t="inlineStr"/>
      <c r="B76" s="30" t="inlineStr"/>
      <c r="C76" s="30" t="inlineStr"/>
      <c r="D76" s="30" t="inlineStr"/>
      <c r="E76" s="31" t="inlineStr"/>
      <c r="F76" s="30" t="inlineStr"/>
      <c r="G76" s="30" t="inlineStr"/>
      <c r="H76" s="31" t="inlineStr"/>
      <c r="I76" s="31" t="inlineStr"/>
      <c r="J76" s="31" t="inlineStr"/>
      <c r="K76" s="31" t="inlineStr"/>
      <c r="L76" s="31" t="inlineStr"/>
      <c r="M76" s="31" t="inlineStr"/>
      <c r="N76" s="31" t="inlineStr"/>
      <c r="O76" s="31" t="inlineStr"/>
      <c r="P76" s="31" t="inlineStr"/>
      <c r="Q76" s="31" t="inlineStr"/>
      <c r="R76" s="31" t="inlineStr"/>
      <c r="S76" s="31" t="inlineStr"/>
    </row>
    <row r="77" ht="20" customHeight="1">
      <c r="A77" s="30" t="inlineStr"/>
      <c r="B77" s="30" t="inlineStr"/>
      <c r="C77" s="30" t="inlineStr"/>
      <c r="D77" s="30" t="inlineStr"/>
      <c r="E77" s="31" t="inlineStr"/>
      <c r="F77" s="30" t="inlineStr"/>
      <c r="G77" s="30" t="inlineStr"/>
      <c r="H77" s="31" t="inlineStr"/>
      <c r="I77" s="31" t="inlineStr"/>
      <c r="J77" s="31" t="inlineStr"/>
      <c r="K77" s="31" t="inlineStr"/>
      <c r="L77" s="31" t="inlineStr"/>
      <c r="M77" s="31" t="inlineStr"/>
      <c r="N77" s="31" t="inlineStr"/>
      <c r="O77" s="31" t="inlineStr"/>
      <c r="P77" s="31" t="inlineStr"/>
      <c r="Q77" s="31" t="inlineStr"/>
      <c r="R77" s="31" t="inlineStr"/>
      <c r="S77" s="31" t="inlineStr"/>
    </row>
    <row r="78" ht="20" customHeight="1">
      <c r="A78" s="30" t="inlineStr"/>
      <c r="B78" s="30" t="inlineStr"/>
      <c r="C78" s="30" t="inlineStr"/>
      <c r="D78" s="30" t="inlineStr"/>
      <c r="E78" s="31" t="inlineStr"/>
      <c r="F78" s="30" t="inlineStr"/>
      <c r="G78" s="30" t="inlineStr"/>
      <c r="H78" s="31" t="inlineStr"/>
      <c r="I78" s="31" t="inlineStr"/>
      <c r="J78" s="31" t="inlineStr"/>
      <c r="K78" s="31" t="inlineStr"/>
      <c r="L78" s="31" t="inlineStr"/>
      <c r="M78" s="31" t="inlineStr"/>
      <c r="N78" s="31" t="inlineStr"/>
      <c r="O78" s="31" t="inlineStr"/>
      <c r="P78" s="31" t="inlineStr"/>
      <c r="Q78" s="31" t="inlineStr"/>
      <c r="R78" s="31" t="inlineStr"/>
      <c r="S78" s="31" t="inlineStr"/>
    </row>
    <row r="79" ht="20" customHeight="1">
      <c r="A79" s="30" t="inlineStr"/>
      <c r="B79" s="30" t="inlineStr"/>
      <c r="C79" s="30" t="inlineStr"/>
      <c r="D79" s="30" t="inlineStr"/>
      <c r="E79" s="31" t="inlineStr"/>
      <c r="F79" s="30" t="inlineStr"/>
      <c r="G79" s="30" t="inlineStr"/>
      <c r="H79" s="31" t="inlineStr"/>
      <c r="I79" s="31" t="inlineStr"/>
      <c r="J79" s="31" t="inlineStr"/>
      <c r="K79" s="31" t="inlineStr"/>
      <c r="L79" s="31" t="inlineStr"/>
      <c r="M79" s="31" t="inlineStr"/>
      <c r="N79" s="31" t="inlineStr"/>
      <c r="O79" s="31" t="inlineStr"/>
      <c r="P79" s="31" t="inlineStr"/>
      <c r="Q79" s="31" t="inlineStr"/>
      <c r="R79" s="31" t="inlineStr"/>
      <c r="S79" s="31" t="inlineStr"/>
    </row>
    <row r="80" ht="20" customHeight="1">
      <c r="A80" s="30" t="inlineStr"/>
      <c r="B80" s="30" t="inlineStr"/>
      <c r="C80" s="30" t="inlineStr"/>
      <c r="D80" s="30" t="inlineStr"/>
      <c r="E80" s="31" t="inlineStr"/>
      <c r="F80" s="30" t="inlineStr"/>
      <c r="G80" s="30" t="inlineStr"/>
      <c r="H80" s="31" t="inlineStr"/>
      <c r="I80" s="31" t="inlineStr"/>
      <c r="J80" s="31" t="inlineStr"/>
      <c r="K80" s="31" t="inlineStr"/>
      <c r="L80" s="31" t="inlineStr"/>
      <c r="M80" s="31" t="inlineStr"/>
      <c r="N80" s="31" t="inlineStr"/>
      <c r="O80" s="31" t="inlineStr"/>
      <c r="P80" s="31" t="inlineStr"/>
      <c r="Q80" s="31" t="inlineStr"/>
      <c r="R80" s="31" t="inlineStr"/>
      <c r="S80" s="31" t="inlineStr"/>
    </row>
    <row r="83" ht="22" customHeight="1">
      <c r="A83" s="32" t="inlineStr">
        <is>
          <t>▸ VALORCIA — ENTRÉES</t>
        </is>
      </c>
      <c r="H83" s="33">
        <f>SUMIFS(H5:H80,$A$5:$A$80,"Valorcia",H5:H80,"&gt;0")</f>
        <v/>
      </c>
      <c r="I83" s="33">
        <f>SUMIFS(I5:I80,$A$5:$A$80,"Valorcia",I5:I80,"&gt;0")</f>
        <v/>
      </c>
      <c r="J83" s="33">
        <f>SUMIFS(J5:J80,$A$5:$A$80,"Valorcia",J5:J80,"&gt;0")</f>
        <v/>
      </c>
      <c r="K83" s="33">
        <f>SUMIFS(K5:K80,$A$5:$A$80,"Valorcia",K5:K80,"&gt;0")</f>
        <v/>
      </c>
      <c r="L83" s="33">
        <f>SUMIFS(L5:L80,$A$5:$A$80,"Valorcia",L5:L80,"&gt;0")</f>
        <v/>
      </c>
      <c r="M83" s="33">
        <f>SUMIFS(M5:M80,$A$5:$A$80,"Valorcia",M5:M80,"&gt;0")</f>
        <v/>
      </c>
      <c r="N83" s="33">
        <f>SUMIFS(N5:N80,$A$5:$A$80,"Valorcia",N5:N80,"&gt;0")</f>
        <v/>
      </c>
      <c r="O83" s="33">
        <f>SUMIFS(O5:O80,$A$5:$A$80,"Valorcia",O5:O80,"&gt;0")</f>
        <v/>
      </c>
      <c r="P83" s="33">
        <f>SUMIFS(P5:P80,$A$5:$A$80,"Valorcia",P5:P80,"&gt;0")</f>
        <v/>
      </c>
      <c r="Q83" s="33">
        <f>SUMIFS(Q5:Q80,$A$5:$A$80,"Valorcia",Q5:Q80,"&gt;0")</f>
        <v/>
      </c>
      <c r="R83" s="33">
        <f>SUMIFS(R5:R80,$A$5:$A$80,"Valorcia",R5:R80,"&gt;0")</f>
        <v/>
      </c>
      <c r="S83" s="33">
        <f>SUMIFS(S5:S80,$A$5:$A$80,"Valorcia",S5:S80,"&gt;0")</f>
        <v/>
      </c>
    </row>
    <row r="84" ht="22" customHeight="1">
      <c r="A84" s="34" t="inlineStr">
        <is>
          <t>▸ VALORCIA — SORTIES</t>
        </is>
      </c>
      <c r="H84" s="35">
        <f>-SUMIFS(H5:H80,$A$5:$A$80,"Valorcia",H5:H80,"&lt;0")</f>
        <v/>
      </c>
      <c r="I84" s="35">
        <f>-SUMIFS(I5:I80,$A$5:$A$80,"Valorcia",I5:I80,"&lt;0")</f>
        <v/>
      </c>
      <c r="J84" s="35">
        <f>-SUMIFS(J5:J80,$A$5:$A$80,"Valorcia",J5:J80,"&lt;0")</f>
        <v/>
      </c>
      <c r="K84" s="35">
        <f>-SUMIFS(K5:K80,$A$5:$A$80,"Valorcia",K5:K80,"&lt;0")</f>
        <v/>
      </c>
      <c r="L84" s="35">
        <f>-SUMIFS(L5:L80,$A$5:$A$80,"Valorcia",L5:L80,"&lt;0")</f>
        <v/>
      </c>
      <c r="M84" s="35">
        <f>-SUMIFS(M5:M80,$A$5:$A$80,"Valorcia",M5:M80,"&lt;0")</f>
        <v/>
      </c>
      <c r="N84" s="35">
        <f>-SUMIFS(N5:N80,$A$5:$A$80,"Valorcia",N5:N80,"&lt;0")</f>
        <v/>
      </c>
      <c r="O84" s="35">
        <f>-SUMIFS(O5:O80,$A$5:$A$80,"Valorcia",O5:O80,"&lt;0")</f>
        <v/>
      </c>
      <c r="P84" s="35">
        <f>-SUMIFS(P5:P80,$A$5:$A$80,"Valorcia",P5:P80,"&lt;0")</f>
        <v/>
      </c>
      <c r="Q84" s="35">
        <f>-SUMIFS(Q5:Q80,$A$5:$A$80,"Valorcia",Q5:Q80,"&lt;0")</f>
        <v/>
      </c>
      <c r="R84" s="35">
        <f>-SUMIFS(R5:R80,$A$5:$A$80,"Valorcia",R5:R80,"&lt;0")</f>
        <v/>
      </c>
      <c r="S84" s="35">
        <f>-SUMIFS(S5:S80,$A$5:$A$80,"Valorcia",S5:S80,"&lt;0")</f>
        <v/>
      </c>
    </row>
    <row r="85" ht="22" customHeight="1">
      <c r="A85" s="36" t="inlineStr">
        <is>
          <t>▸ VALORCIA — SOLDE NET</t>
        </is>
      </c>
      <c r="H85" s="37">
        <f>H83-H84</f>
        <v/>
      </c>
      <c r="I85" s="37">
        <f>I83-I84</f>
        <v/>
      </c>
      <c r="J85" s="37">
        <f>J83-J84</f>
        <v/>
      </c>
      <c r="K85" s="37">
        <f>K83-K84</f>
        <v/>
      </c>
      <c r="L85" s="37">
        <f>L83-L84</f>
        <v/>
      </c>
      <c r="M85" s="37">
        <f>M83-M84</f>
        <v/>
      </c>
      <c r="N85" s="37">
        <f>N83-N84</f>
        <v/>
      </c>
      <c r="O85" s="37">
        <f>O83-O84</f>
        <v/>
      </c>
      <c r="P85" s="37">
        <f>P83-P84</f>
        <v/>
      </c>
      <c r="Q85" s="37">
        <f>Q83-Q84</f>
        <v/>
      </c>
      <c r="R85" s="37">
        <f>R83-R84</f>
        <v/>
      </c>
      <c r="S85" s="37">
        <f>S83-S84</f>
        <v/>
      </c>
    </row>
    <row r="87" ht="22" customHeight="1">
      <c r="A87" s="32" t="inlineStr">
        <is>
          <t>▸ LUCA CRÉATIONS — ENTRÉES</t>
        </is>
      </c>
      <c r="H87" s="33">
        <f>SUMIFS(H5:H80,$A$5:$A$80,"Luca Créations",H5:H80,"&gt;0")</f>
        <v/>
      </c>
      <c r="I87" s="33">
        <f>SUMIFS(I5:I80,$A$5:$A$80,"Luca Créations",I5:I80,"&gt;0")</f>
        <v/>
      </c>
      <c r="J87" s="33">
        <f>SUMIFS(J5:J80,$A$5:$A$80,"Luca Créations",J5:J80,"&gt;0")</f>
        <v/>
      </c>
      <c r="K87" s="33">
        <f>SUMIFS(K5:K80,$A$5:$A$80,"Luca Créations",K5:K80,"&gt;0")</f>
        <v/>
      </c>
      <c r="L87" s="33">
        <f>SUMIFS(L5:L80,$A$5:$A$80,"Luca Créations",L5:L80,"&gt;0")</f>
        <v/>
      </c>
      <c r="M87" s="33">
        <f>SUMIFS(M5:M80,$A$5:$A$80,"Luca Créations",M5:M80,"&gt;0")</f>
        <v/>
      </c>
      <c r="N87" s="33">
        <f>SUMIFS(N5:N80,$A$5:$A$80,"Luca Créations",N5:N80,"&gt;0")</f>
        <v/>
      </c>
      <c r="O87" s="33">
        <f>SUMIFS(O5:O80,$A$5:$A$80,"Luca Créations",O5:O80,"&gt;0")</f>
        <v/>
      </c>
      <c r="P87" s="33">
        <f>SUMIFS(P5:P80,$A$5:$A$80,"Luca Créations",P5:P80,"&gt;0")</f>
        <v/>
      </c>
      <c r="Q87" s="33">
        <f>SUMIFS(Q5:Q80,$A$5:$A$80,"Luca Créations",Q5:Q80,"&gt;0")</f>
        <v/>
      </c>
      <c r="R87" s="33">
        <f>SUMIFS(R5:R80,$A$5:$A$80,"Luca Créations",R5:R80,"&gt;0")</f>
        <v/>
      </c>
      <c r="S87" s="33">
        <f>SUMIFS(S5:S80,$A$5:$A$80,"Luca Créations",S5:S80,"&gt;0")</f>
        <v/>
      </c>
    </row>
    <row r="88" ht="22" customHeight="1">
      <c r="A88" s="34" t="inlineStr">
        <is>
          <t>▸ LUCA CRÉATIONS — SORTIES</t>
        </is>
      </c>
      <c r="H88" s="35">
        <f>-SUMIFS(H5:H80,$A$5:$A$80,"Luca Créations",H5:H80,"&lt;0")</f>
        <v/>
      </c>
      <c r="I88" s="35">
        <f>-SUMIFS(I5:I80,$A$5:$A$80,"Luca Créations",I5:I80,"&lt;0")</f>
        <v/>
      </c>
      <c r="J88" s="35">
        <f>-SUMIFS(J5:J80,$A$5:$A$80,"Luca Créations",J5:J80,"&lt;0")</f>
        <v/>
      </c>
      <c r="K88" s="35">
        <f>-SUMIFS(K5:K80,$A$5:$A$80,"Luca Créations",K5:K80,"&lt;0")</f>
        <v/>
      </c>
      <c r="L88" s="35">
        <f>-SUMIFS(L5:L80,$A$5:$A$80,"Luca Créations",L5:L80,"&lt;0")</f>
        <v/>
      </c>
      <c r="M88" s="35">
        <f>-SUMIFS(M5:M80,$A$5:$A$80,"Luca Créations",M5:M80,"&lt;0")</f>
        <v/>
      </c>
      <c r="N88" s="35">
        <f>-SUMIFS(N5:N80,$A$5:$A$80,"Luca Créations",N5:N80,"&lt;0")</f>
        <v/>
      </c>
      <c r="O88" s="35">
        <f>-SUMIFS(O5:O80,$A$5:$A$80,"Luca Créations",O5:O80,"&lt;0")</f>
        <v/>
      </c>
      <c r="P88" s="35">
        <f>-SUMIFS(P5:P80,$A$5:$A$80,"Luca Créations",P5:P80,"&lt;0")</f>
        <v/>
      </c>
      <c r="Q88" s="35">
        <f>-SUMIFS(Q5:Q80,$A$5:$A$80,"Luca Créations",Q5:Q80,"&lt;0")</f>
        <v/>
      </c>
      <c r="R88" s="35">
        <f>-SUMIFS(R5:R80,$A$5:$A$80,"Luca Créations",R5:R80,"&lt;0")</f>
        <v/>
      </c>
      <c r="S88" s="35">
        <f>-SUMIFS(S5:S80,$A$5:$A$80,"Luca Créations",S5:S80,"&lt;0")</f>
        <v/>
      </c>
    </row>
    <row r="89" ht="22" customHeight="1">
      <c r="A89" s="38" t="inlineStr">
        <is>
          <t>▸ LUCA CRÉATIONS — SOLDE NET</t>
        </is>
      </c>
      <c r="H89" s="39">
        <f>H87-H88</f>
        <v/>
      </c>
      <c r="I89" s="39">
        <f>I87-I88</f>
        <v/>
      </c>
      <c r="J89" s="39">
        <f>J87-J88</f>
        <v/>
      </c>
      <c r="K89" s="39">
        <f>K87-K88</f>
        <v/>
      </c>
      <c r="L89" s="39">
        <f>L87-L88</f>
        <v/>
      </c>
      <c r="M89" s="39">
        <f>M87-M88</f>
        <v/>
      </c>
      <c r="N89" s="39">
        <f>N87-N88</f>
        <v/>
      </c>
      <c r="O89" s="39">
        <f>O87-O88</f>
        <v/>
      </c>
      <c r="P89" s="39">
        <f>P87-P88</f>
        <v/>
      </c>
      <c r="Q89" s="39">
        <f>Q87-Q88</f>
        <v/>
      </c>
      <c r="R89" s="39">
        <f>R87-R88</f>
        <v/>
      </c>
      <c r="S89" s="39">
        <f>S87-S88</f>
        <v/>
      </c>
    </row>
    <row r="91" ht="22" customHeight="1">
      <c r="A91" s="32" t="inlineStr">
        <is>
          <t>▸ 123 SPA — ENTRÉES</t>
        </is>
      </c>
      <c r="H91" s="33">
        <f>SUMIFS(H5:H80,$A$5:$A$80,"123 SPA",H5:H80,"&gt;0")</f>
        <v/>
      </c>
      <c r="I91" s="33">
        <f>SUMIFS(I5:I80,$A$5:$A$80,"123 SPA",I5:I80,"&gt;0")</f>
        <v/>
      </c>
      <c r="J91" s="33">
        <f>SUMIFS(J5:J80,$A$5:$A$80,"123 SPA",J5:J80,"&gt;0")</f>
        <v/>
      </c>
      <c r="K91" s="33">
        <f>SUMIFS(K5:K80,$A$5:$A$80,"123 SPA",K5:K80,"&gt;0")</f>
        <v/>
      </c>
      <c r="L91" s="33">
        <f>SUMIFS(L5:L80,$A$5:$A$80,"123 SPA",L5:L80,"&gt;0")</f>
        <v/>
      </c>
      <c r="M91" s="33">
        <f>SUMIFS(M5:M80,$A$5:$A$80,"123 SPA",M5:M80,"&gt;0")</f>
        <v/>
      </c>
      <c r="N91" s="33">
        <f>SUMIFS(N5:N80,$A$5:$A$80,"123 SPA",N5:N80,"&gt;0")</f>
        <v/>
      </c>
      <c r="O91" s="33">
        <f>SUMIFS(O5:O80,$A$5:$A$80,"123 SPA",O5:O80,"&gt;0")</f>
        <v/>
      </c>
      <c r="P91" s="33">
        <f>SUMIFS(P5:P80,$A$5:$A$80,"123 SPA",P5:P80,"&gt;0")</f>
        <v/>
      </c>
      <c r="Q91" s="33">
        <f>SUMIFS(Q5:Q80,$A$5:$A$80,"123 SPA",Q5:Q80,"&gt;0")</f>
        <v/>
      </c>
      <c r="R91" s="33">
        <f>SUMIFS(R5:R80,$A$5:$A$80,"123 SPA",R5:R80,"&gt;0")</f>
        <v/>
      </c>
      <c r="S91" s="33">
        <f>SUMIFS(S5:S80,$A$5:$A$80,"123 SPA",S5:S80,"&gt;0")</f>
        <v/>
      </c>
    </row>
    <row r="92" ht="22" customHeight="1">
      <c r="A92" s="34" t="inlineStr">
        <is>
          <t>▸ 123 SPA — SORTIES</t>
        </is>
      </c>
      <c r="H92" s="35">
        <f>-SUMIFS(H5:H80,$A$5:$A$80,"123 SPA",H5:H80,"&lt;0")</f>
        <v/>
      </c>
      <c r="I92" s="35">
        <f>-SUMIFS(I5:I80,$A$5:$A$80,"123 SPA",I5:I80,"&lt;0")</f>
        <v/>
      </c>
      <c r="J92" s="35">
        <f>-SUMIFS(J5:J80,$A$5:$A$80,"123 SPA",J5:J80,"&lt;0")</f>
        <v/>
      </c>
      <c r="K92" s="35">
        <f>-SUMIFS(K5:K80,$A$5:$A$80,"123 SPA",K5:K80,"&lt;0")</f>
        <v/>
      </c>
      <c r="L92" s="35">
        <f>-SUMIFS(L5:L80,$A$5:$A$80,"123 SPA",L5:L80,"&lt;0")</f>
        <v/>
      </c>
      <c r="M92" s="35">
        <f>-SUMIFS(M5:M80,$A$5:$A$80,"123 SPA",M5:M80,"&lt;0")</f>
        <v/>
      </c>
      <c r="N92" s="35">
        <f>-SUMIFS(N5:N80,$A$5:$A$80,"123 SPA",N5:N80,"&lt;0")</f>
        <v/>
      </c>
      <c r="O92" s="35">
        <f>-SUMIFS(O5:O80,$A$5:$A$80,"123 SPA",O5:O80,"&lt;0")</f>
        <v/>
      </c>
      <c r="P92" s="35">
        <f>-SUMIFS(P5:P80,$A$5:$A$80,"123 SPA",P5:P80,"&lt;0")</f>
        <v/>
      </c>
      <c r="Q92" s="35">
        <f>-SUMIFS(Q5:Q80,$A$5:$A$80,"123 SPA",Q5:Q80,"&lt;0")</f>
        <v/>
      </c>
      <c r="R92" s="35">
        <f>-SUMIFS(R5:R80,$A$5:$A$80,"123 SPA",R5:R80,"&lt;0")</f>
        <v/>
      </c>
      <c r="S92" s="35">
        <f>-SUMIFS(S5:S80,$A$5:$A$80,"123 SPA",S5:S80,"&lt;0")</f>
        <v/>
      </c>
    </row>
    <row r="93" ht="22" customHeight="1">
      <c r="A93" s="40" t="inlineStr">
        <is>
          <t>▸ 123 SPA — SOLDE NET</t>
        </is>
      </c>
      <c r="H93" s="41">
        <f>H91-H92</f>
        <v/>
      </c>
      <c r="I93" s="41">
        <f>I91-I92</f>
        <v/>
      </c>
      <c r="J93" s="41">
        <f>J91-J92</f>
        <v/>
      </c>
      <c r="K93" s="41">
        <f>K91-K92</f>
        <v/>
      </c>
      <c r="L93" s="41">
        <f>L91-L92</f>
        <v/>
      </c>
      <c r="M93" s="41">
        <f>M91-M92</f>
        <v/>
      </c>
      <c r="N93" s="41">
        <f>N91-N92</f>
        <v/>
      </c>
      <c r="O93" s="41">
        <f>O91-O92</f>
        <v/>
      </c>
      <c r="P93" s="41">
        <f>P91-P92</f>
        <v/>
      </c>
      <c r="Q93" s="41">
        <f>Q91-Q92</f>
        <v/>
      </c>
      <c r="R93" s="41">
        <f>R91-R92</f>
        <v/>
      </c>
      <c r="S93" s="41">
        <f>S91-S92</f>
        <v/>
      </c>
    </row>
    <row r="95" ht="22" customHeight="1">
      <c r="A95" s="32" t="inlineStr">
        <is>
          <t>▸ 🌍 TOTAL CONSOLIDÉ — ENTRÉES</t>
        </is>
      </c>
      <c r="H95" s="33">
        <f>SUMIF(H5:H80,"&gt;0")</f>
        <v/>
      </c>
      <c r="I95" s="33">
        <f>SUMIF(I5:I80,"&gt;0")</f>
        <v/>
      </c>
      <c r="J95" s="33">
        <f>SUMIF(J5:J80,"&gt;0")</f>
        <v/>
      </c>
      <c r="K95" s="33">
        <f>SUMIF(K5:K80,"&gt;0")</f>
        <v/>
      </c>
      <c r="L95" s="33">
        <f>SUMIF(L5:L80,"&gt;0")</f>
        <v/>
      </c>
      <c r="M95" s="33">
        <f>SUMIF(M5:M80,"&gt;0")</f>
        <v/>
      </c>
      <c r="N95" s="33">
        <f>SUMIF(N5:N80,"&gt;0")</f>
        <v/>
      </c>
      <c r="O95" s="33">
        <f>SUMIF(O5:O80,"&gt;0")</f>
        <v/>
      </c>
      <c r="P95" s="33">
        <f>SUMIF(P5:P80,"&gt;0")</f>
        <v/>
      </c>
      <c r="Q95" s="33">
        <f>SUMIF(Q5:Q80,"&gt;0")</f>
        <v/>
      </c>
      <c r="R95" s="33">
        <f>SUMIF(R5:R80,"&gt;0")</f>
        <v/>
      </c>
      <c r="S95" s="33">
        <f>SUMIF(S5:S80,"&gt;0")</f>
        <v/>
      </c>
    </row>
    <row r="96" ht="22" customHeight="1">
      <c r="A96" s="34" t="inlineStr">
        <is>
          <t>▸ 🌍 TOTAL CONSOLIDÉ — SORTIES</t>
        </is>
      </c>
      <c r="H96" s="35">
        <f>-SUMIF(H5:H80,"&lt;0")</f>
        <v/>
      </c>
      <c r="I96" s="35">
        <f>-SUMIF(I5:I80,"&lt;0")</f>
        <v/>
      </c>
      <c r="J96" s="35">
        <f>-SUMIF(J5:J80,"&lt;0")</f>
        <v/>
      </c>
      <c r="K96" s="35">
        <f>-SUMIF(K5:K80,"&lt;0")</f>
        <v/>
      </c>
      <c r="L96" s="35">
        <f>-SUMIF(L5:L80,"&lt;0")</f>
        <v/>
      </c>
      <c r="M96" s="35">
        <f>-SUMIF(M5:M80,"&lt;0")</f>
        <v/>
      </c>
      <c r="N96" s="35">
        <f>-SUMIF(N5:N80,"&lt;0")</f>
        <v/>
      </c>
      <c r="O96" s="35">
        <f>-SUMIF(O5:O80,"&lt;0")</f>
        <v/>
      </c>
      <c r="P96" s="35">
        <f>-SUMIF(P5:P80,"&lt;0")</f>
        <v/>
      </c>
      <c r="Q96" s="35">
        <f>-SUMIF(Q5:Q80,"&lt;0")</f>
        <v/>
      </c>
      <c r="R96" s="35">
        <f>-SUMIF(R5:R80,"&lt;0")</f>
        <v/>
      </c>
      <c r="S96" s="35">
        <f>-SUMIF(S5:S80,"&lt;0")</f>
        <v/>
      </c>
    </row>
    <row r="97" ht="22" customHeight="1">
      <c r="A97" s="42" t="inlineStr">
        <is>
          <t>▸ 🌍 TOTAL CONSOLIDÉ — SOLDE NET</t>
        </is>
      </c>
      <c r="H97" s="43">
        <f>H95-H96</f>
        <v/>
      </c>
      <c r="I97" s="43">
        <f>I95-I96</f>
        <v/>
      </c>
      <c r="J97" s="43">
        <f>J95-J96</f>
        <v/>
      </c>
      <c r="K97" s="43">
        <f>K95-K96</f>
        <v/>
      </c>
      <c r="L97" s="43">
        <f>L95-L96</f>
        <v/>
      </c>
      <c r="M97" s="43">
        <f>M95-M96</f>
        <v/>
      </c>
      <c r="N97" s="43">
        <f>N95-N96</f>
        <v/>
      </c>
      <c r="O97" s="43">
        <f>O95-O96</f>
        <v/>
      </c>
      <c r="P97" s="43">
        <f>P95-P96</f>
        <v/>
      </c>
      <c r="Q97" s="43">
        <f>Q95-Q96</f>
        <v/>
      </c>
      <c r="R97" s="43">
        <f>R95-R96</f>
        <v/>
      </c>
      <c r="S97" s="43">
        <f>S95-S96</f>
        <v/>
      </c>
    </row>
    <row r="99" ht="28" customHeight="1">
      <c r="A99" s="44" t="inlineStr">
        <is>
          <t>💰 SOLDE CUMULÉ CONSOLIDÉ (toutes sociétés)</t>
        </is>
      </c>
      <c r="H99" s="45">
        <f>H97</f>
        <v/>
      </c>
      <c r="I99" s="45">
        <f>H99+I97</f>
        <v/>
      </c>
      <c r="J99" s="45">
        <f>I99+J97</f>
        <v/>
      </c>
      <c r="K99" s="45">
        <f>J99+K97</f>
        <v/>
      </c>
      <c r="L99" s="45">
        <f>K99+L97</f>
        <v/>
      </c>
      <c r="M99" s="45">
        <f>L99+M97</f>
        <v/>
      </c>
      <c r="N99" s="45">
        <f>M99+N97</f>
        <v/>
      </c>
      <c r="O99" s="45">
        <f>N99+O97</f>
        <v/>
      </c>
      <c r="P99" s="45">
        <f>O99+P97</f>
        <v/>
      </c>
      <c r="Q99" s="45">
        <f>P99+Q97</f>
        <v/>
      </c>
      <c r="R99" s="45">
        <f>Q99+R97</f>
        <v/>
      </c>
      <c r="S99" s="45">
        <f>R99+S97</f>
        <v/>
      </c>
    </row>
  </sheetData>
  <autoFilter ref="A4:G80"/>
  <mergeCells count="18">
    <mergeCell ref="A84:G84"/>
    <mergeCell ref="A93:G93"/>
    <mergeCell ref="F2:G2"/>
    <mergeCell ref="A89:G89"/>
    <mergeCell ref="A99:G99"/>
    <mergeCell ref="A88:G88"/>
    <mergeCell ref="A97:G97"/>
    <mergeCell ref="C2:D2"/>
    <mergeCell ref="I2:J2"/>
    <mergeCell ref="A83:G83"/>
    <mergeCell ref="A1:S1"/>
    <mergeCell ref="A87:G87"/>
    <mergeCell ref="A91:G91"/>
    <mergeCell ref="A92:G92"/>
    <mergeCell ref="A2"/>
    <mergeCell ref="A95:G95"/>
    <mergeCell ref="A96:G96"/>
    <mergeCell ref="A85:G85"/>
  </mergeCells>
  <conditionalFormatting sqref="G5:G80">
    <cfRule type="expression" priority="1" dxfId="0">
      <formula>$G5="Payé"</formula>
    </cfRule>
    <cfRule type="expression" priority="2" dxfId="1">
      <formula>$G5="Prévu"</formula>
    </cfRule>
    <cfRule type="expression" priority="3" dxfId="2">
      <formula>$G5="En retard"</formula>
    </cfRule>
    <cfRule type="expression" priority="4" dxfId="3">
      <formula>$G5="Impayé"</formula>
    </cfRule>
    <cfRule type="expression" priority="5" dxfId="4">
      <formula>$G5="Annulé"</formula>
    </cfRule>
  </conditionalFormatting>
  <conditionalFormatting sqref="H99">
    <cfRule type="cellIs" priority="6" operator="lessThan" dxfId="5">
      <formula>0</formula>
    </cfRule>
  </conditionalFormatting>
  <conditionalFormatting sqref="I99">
    <cfRule type="cellIs" priority="7" operator="lessThan" dxfId="5">
      <formula>0</formula>
    </cfRule>
  </conditionalFormatting>
  <conditionalFormatting sqref="J99">
    <cfRule type="cellIs" priority="8" operator="lessThan" dxfId="5">
      <formula>0</formula>
    </cfRule>
  </conditionalFormatting>
  <conditionalFormatting sqref="K99">
    <cfRule type="cellIs" priority="9" operator="lessThan" dxfId="5">
      <formula>0</formula>
    </cfRule>
  </conditionalFormatting>
  <conditionalFormatting sqref="L99">
    <cfRule type="cellIs" priority="10" operator="lessThan" dxfId="5">
      <formula>0</formula>
    </cfRule>
  </conditionalFormatting>
  <conditionalFormatting sqref="M99">
    <cfRule type="cellIs" priority="11" operator="lessThan" dxfId="5">
      <formula>0</formula>
    </cfRule>
  </conditionalFormatting>
  <conditionalFormatting sqref="N99">
    <cfRule type="cellIs" priority="12" operator="lessThan" dxfId="5">
      <formula>0</formula>
    </cfRule>
  </conditionalFormatting>
  <conditionalFormatting sqref="O99">
    <cfRule type="cellIs" priority="13" operator="lessThan" dxfId="5">
      <formula>0</formula>
    </cfRule>
  </conditionalFormatting>
  <conditionalFormatting sqref="P99">
    <cfRule type="cellIs" priority="14" operator="lessThan" dxfId="5">
      <formula>0</formula>
    </cfRule>
  </conditionalFormatting>
  <conditionalFormatting sqref="Q99">
    <cfRule type="cellIs" priority="15" operator="lessThan" dxfId="5">
      <formula>0</formula>
    </cfRule>
  </conditionalFormatting>
  <conditionalFormatting sqref="R99">
    <cfRule type="cellIs" priority="16" operator="lessThan" dxfId="5">
      <formula>0</formula>
    </cfRule>
  </conditionalFormatting>
  <conditionalFormatting sqref="S99">
    <cfRule type="cellIs" priority="17" operator="lessThan" dxfId="5">
      <formula>0</formula>
    </cfRule>
  </conditionalFormatting>
  <dataValidations count="3">
    <dataValidation sqref="A5:A80" showDropDown="0" showInputMessage="0" showErrorMessage="1" allowBlank="1" promptTitle="Société" prompt="Sélectionner la société" type="list">
      <formula1>"Valorcia,Luca Créations,123 SPA"</formula1>
    </dataValidation>
    <dataValidation sqref="D5:D80" showDropDown="0" showInputMessage="0" showErrorMessage="1" allowBlank="1" promptTitle="Type de flux" prompt="Entrée ou Sortie ?" type="list">
      <formula1>"Entrée,Sortie"</formula1>
    </dataValidation>
    <dataValidation sqref="G5:G80" showDropDown="0" showInputMessage="0" showErrorMessage="1" allowBlank="1" promptTitle="Statut du paiement" prompt="Prévu / Payé / Impayé / En retard / Annulé" type="list">
      <formula1>"Prévu,Payé,Impayé,En retard,Annulé"</formula1>
    </dataValidation>
  </dataValidations>
  <pageMargins left="0.75" right="0.75" top="1" bottom="1" header="0.5" footer="0.5"/>
  <pageSetup orientation="landscape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14" customWidth="1" min="4" max="4"/>
    <col width="15" customWidth="1" min="5" max="5"/>
    <col width="15" customWidth="1" min="6" max="6"/>
    <col width="13" customWidth="1" min="7" max="7"/>
    <col width="18" customWidth="1" min="8" max="8"/>
    <col width="30" customWidth="1" min="9" max="9"/>
  </cols>
  <sheetData>
    <row r="1" ht="30" customHeight="1">
      <c r="A1" s="46" t="inlineStr">
        <is>
          <t>🚨  SUIVI DES IMPAYÉS &amp; RETARDS  —  MULTI-SOCIÉTÉS  🚨</t>
        </is>
      </c>
    </row>
    <row r="2" ht="6" customHeight="1"/>
    <row r="3" ht="34" customHeight="1">
      <c r="A3" s="47" t="inlineStr">
        <is>
          <t>Société</t>
        </is>
      </c>
      <c r="B3" s="47" t="inlineStr">
        <is>
          <t>Nom client</t>
        </is>
      </c>
      <c r="C3" s="47" t="inlineStr">
        <is>
          <t>Projet</t>
        </is>
      </c>
      <c r="D3" s="47" t="inlineStr">
        <is>
          <t>Montant HT (€)</t>
        </is>
      </c>
      <c r="E3" s="47" t="inlineStr">
        <is>
          <t>Échéance initiale</t>
        </is>
      </c>
      <c r="F3" s="47" t="inlineStr">
        <is>
          <t>Jours de retard</t>
        </is>
      </c>
      <c r="G3" s="47" t="inlineStr">
        <is>
          <t>Statut</t>
        </is>
      </c>
      <c r="H3" s="47" t="inlineStr">
        <is>
          <t>Date dernière relance</t>
        </is>
      </c>
      <c r="I3" s="47" t="inlineStr">
        <is>
          <t>Actions à mener</t>
        </is>
      </c>
    </row>
    <row r="4" ht="24" customHeight="1">
      <c r="A4" s="16" t="inlineStr">
        <is>
          <t>Luca Créations</t>
        </is>
      </c>
      <c r="B4" s="30" t="inlineStr">
        <is>
          <t>Client Durand</t>
        </is>
      </c>
      <c r="C4" s="30" t="inlineStr">
        <is>
          <t>Solde facture #2026-084</t>
        </is>
      </c>
      <c r="D4" s="48" t="n">
        <v>2300</v>
      </c>
      <c r="E4" s="49" t="n">
        <v>46366</v>
      </c>
      <c r="F4" s="13">
        <f>IF(E4="","",TODAY()-E4)</f>
        <v/>
      </c>
      <c r="G4" s="13" t="inlineStr">
        <is>
          <t>En retard</t>
        </is>
      </c>
      <c r="H4" s="49" t="inlineStr"/>
      <c r="I4" s="50" t="inlineStr">
        <is>
          <t>1ère relance à envoyer</t>
        </is>
      </c>
    </row>
    <row r="5" ht="24" customHeight="1">
      <c r="A5" s="23" t="inlineStr">
        <is>
          <t>123 SPA</t>
        </is>
      </c>
      <c r="B5" s="30" t="inlineStr">
        <is>
          <t>Client Leroy</t>
        </is>
      </c>
      <c r="C5" s="30" t="inlineStr">
        <is>
          <t>Acompte installation spa</t>
        </is>
      </c>
      <c r="D5" s="48" t="n">
        <v>1500</v>
      </c>
      <c r="E5" s="49" t="n">
        <v>46384</v>
      </c>
      <c r="F5" s="13">
        <f>IF(E5="","",TODAY()-E5)</f>
        <v/>
      </c>
      <c r="G5" s="13" t="inlineStr">
        <is>
          <t>Impayé</t>
        </is>
      </c>
      <c r="H5" s="49" t="inlineStr"/>
      <c r="I5" s="50" t="inlineStr">
        <is>
          <t>Mise en demeure à préparer</t>
        </is>
      </c>
    </row>
    <row r="6" ht="22" customHeight="1">
      <c r="A6" s="30" t="inlineStr"/>
      <c r="B6" s="30" t="inlineStr"/>
      <c r="C6" s="30" t="inlineStr"/>
      <c r="D6" s="31" t="inlineStr"/>
      <c r="E6" s="51" t="inlineStr"/>
      <c r="F6" s="13">
        <f>IF(E6="","",TODAY()-E6)</f>
        <v/>
      </c>
      <c r="G6" s="30" t="inlineStr"/>
      <c r="H6" s="51" t="inlineStr"/>
      <c r="I6" s="30" t="inlineStr"/>
    </row>
    <row r="7" ht="22" customHeight="1">
      <c r="A7" s="30" t="inlineStr"/>
      <c r="B7" s="30" t="inlineStr"/>
      <c r="C7" s="30" t="inlineStr"/>
      <c r="D7" s="31" t="inlineStr"/>
      <c r="E7" s="51" t="inlineStr"/>
      <c r="F7" s="13">
        <f>IF(E7="","",TODAY()-E7)</f>
        <v/>
      </c>
      <c r="G7" s="30" t="inlineStr"/>
      <c r="H7" s="51" t="inlineStr"/>
      <c r="I7" s="30" t="inlineStr"/>
    </row>
    <row r="8" ht="22" customHeight="1">
      <c r="A8" s="30" t="inlineStr"/>
      <c r="B8" s="30" t="inlineStr"/>
      <c r="C8" s="30" t="inlineStr"/>
      <c r="D8" s="31" t="inlineStr"/>
      <c r="E8" s="51" t="inlineStr"/>
      <c r="F8" s="13">
        <f>IF(E8="","",TODAY()-E8)</f>
        <v/>
      </c>
      <c r="G8" s="30" t="inlineStr"/>
      <c r="H8" s="51" t="inlineStr"/>
      <c r="I8" s="30" t="inlineStr"/>
    </row>
    <row r="9" ht="22" customHeight="1">
      <c r="A9" s="30" t="inlineStr"/>
      <c r="B9" s="30" t="inlineStr"/>
      <c r="C9" s="30" t="inlineStr"/>
      <c r="D9" s="31" t="inlineStr"/>
      <c r="E9" s="51" t="inlineStr"/>
      <c r="F9" s="13">
        <f>IF(E9="","",TODAY()-E9)</f>
        <v/>
      </c>
      <c r="G9" s="30" t="inlineStr"/>
      <c r="H9" s="51" t="inlineStr"/>
      <c r="I9" s="30" t="inlineStr"/>
    </row>
    <row r="10" ht="22" customHeight="1">
      <c r="A10" s="30" t="inlineStr"/>
      <c r="B10" s="30" t="inlineStr"/>
      <c r="C10" s="30" t="inlineStr"/>
      <c r="D10" s="31" t="inlineStr"/>
      <c r="E10" s="51" t="inlineStr"/>
      <c r="F10" s="13">
        <f>IF(E10="","",TODAY()-E10)</f>
        <v/>
      </c>
      <c r="G10" s="30" t="inlineStr"/>
      <c r="H10" s="51" t="inlineStr"/>
      <c r="I10" s="30" t="inlineStr"/>
    </row>
    <row r="11" ht="22" customHeight="1">
      <c r="A11" s="30" t="inlineStr"/>
      <c r="B11" s="30" t="inlineStr"/>
      <c r="C11" s="30" t="inlineStr"/>
      <c r="D11" s="31" t="inlineStr"/>
      <c r="E11" s="51" t="inlineStr"/>
      <c r="F11" s="13">
        <f>IF(E11="","",TODAY()-E11)</f>
        <v/>
      </c>
      <c r="G11" s="30" t="inlineStr"/>
      <c r="H11" s="51" t="inlineStr"/>
      <c r="I11" s="30" t="inlineStr"/>
    </row>
    <row r="12" ht="22" customHeight="1">
      <c r="A12" s="30" t="inlineStr"/>
      <c r="B12" s="30" t="inlineStr"/>
      <c r="C12" s="30" t="inlineStr"/>
      <c r="D12" s="31" t="inlineStr"/>
      <c r="E12" s="51" t="inlineStr"/>
      <c r="F12" s="13">
        <f>IF(E12="","",TODAY()-E12)</f>
        <v/>
      </c>
      <c r="G12" s="30" t="inlineStr"/>
      <c r="H12" s="51" t="inlineStr"/>
      <c r="I12" s="30" t="inlineStr"/>
    </row>
    <row r="13" ht="22" customHeight="1">
      <c r="A13" s="30" t="inlineStr"/>
      <c r="B13" s="30" t="inlineStr"/>
      <c r="C13" s="30" t="inlineStr"/>
      <c r="D13" s="31" t="inlineStr"/>
      <c r="E13" s="51" t="inlineStr"/>
      <c r="F13" s="13">
        <f>IF(E13="","",TODAY()-E13)</f>
        <v/>
      </c>
      <c r="G13" s="30" t="inlineStr"/>
      <c r="H13" s="51" t="inlineStr"/>
      <c r="I13" s="30" t="inlineStr"/>
    </row>
    <row r="14" ht="22" customHeight="1">
      <c r="A14" s="30" t="inlineStr"/>
      <c r="B14" s="30" t="inlineStr"/>
      <c r="C14" s="30" t="inlineStr"/>
      <c r="D14" s="31" t="inlineStr"/>
      <c r="E14" s="51" t="inlineStr"/>
      <c r="F14" s="13">
        <f>IF(E14="","",TODAY()-E14)</f>
        <v/>
      </c>
      <c r="G14" s="30" t="inlineStr"/>
      <c r="H14" s="51" t="inlineStr"/>
      <c r="I14" s="30" t="inlineStr"/>
    </row>
    <row r="15" ht="22" customHeight="1">
      <c r="A15" s="30" t="inlineStr"/>
      <c r="B15" s="30" t="inlineStr"/>
      <c r="C15" s="30" t="inlineStr"/>
      <c r="D15" s="31" t="inlineStr"/>
      <c r="E15" s="51" t="inlineStr"/>
      <c r="F15" s="13">
        <f>IF(E15="","",TODAY()-E15)</f>
        <v/>
      </c>
      <c r="G15" s="30" t="inlineStr"/>
      <c r="H15" s="51" t="inlineStr"/>
      <c r="I15" s="30" t="inlineStr"/>
    </row>
    <row r="16" ht="22" customHeight="1">
      <c r="A16" s="30" t="inlineStr"/>
      <c r="B16" s="30" t="inlineStr"/>
      <c r="C16" s="30" t="inlineStr"/>
      <c r="D16" s="31" t="inlineStr"/>
      <c r="E16" s="51" t="inlineStr"/>
      <c r="F16" s="13">
        <f>IF(E16="","",TODAY()-E16)</f>
        <v/>
      </c>
      <c r="G16" s="30" t="inlineStr"/>
      <c r="H16" s="51" t="inlineStr"/>
      <c r="I16" s="30" t="inlineStr"/>
    </row>
    <row r="17" ht="22" customHeight="1">
      <c r="A17" s="30" t="inlineStr"/>
      <c r="B17" s="30" t="inlineStr"/>
      <c r="C17" s="30" t="inlineStr"/>
      <c r="D17" s="31" t="inlineStr"/>
      <c r="E17" s="51" t="inlineStr"/>
      <c r="F17" s="13">
        <f>IF(E17="","",TODAY()-E17)</f>
        <v/>
      </c>
      <c r="G17" s="30" t="inlineStr"/>
      <c r="H17" s="51" t="inlineStr"/>
      <c r="I17" s="30" t="inlineStr"/>
    </row>
    <row r="18" ht="22" customHeight="1">
      <c r="A18" s="30" t="inlineStr"/>
      <c r="B18" s="30" t="inlineStr"/>
      <c r="C18" s="30" t="inlineStr"/>
      <c r="D18" s="31" t="inlineStr"/>
      <c r="E18" s="51" t="inlineStr"/>
      <c r="F18" s="13">
        <f>IF(E18="","",TODAY()-E18)</f>
        <v/>
      </c>
      <c r="G18" s="30" t="inlineStr"/>
      <c r="H18" s="51" t="inlineStr"/>
      <c r="I18" s="30" t="inlineStr"/>
    </row>
    <row r="19" ht="22" customHeight="1">
      <c r="A19" s="30" t="inlineStr"/>
      <c r="B19" s="30" t="inlineStr"/>
      <c r="C19" s="30" t="inlineStr"/>
      <c r="D19" s="31" t="inlineStr"/>
      <c r="E19" s="51" t="inlineStr"/>
      <c r="F19" s="13">
        <f>IF(E19="","",TODAY()-E19)</f>
        <v/>
      </c>
      <c r="G19" s="30" t="inlineStr"/>
      <c r="H19" s="51" t="inlineStr"/>
      <c r="I19" s="30" t="inlineStr"/>
    </row>
    <row r="20" ht="22" customHeight="1">
      <c r="A20" s="30" t="inlineStr"/>
      <c r="B20" s="30" t="inlineStr"/>
      <c r="C20" s="30" t="inlineStr"/>
      <c r="D20" s="31" t="inlineStr"/>
      <c r="E20" s="51" t="inlineStr"/>
      <c r="F20" s="13">
        <f>IF(E20="","",TODAY()-E20)</f>
        <v/>
      </c>
      <c r="G20" s="30" t="inlineStr"/>
      <c r="H20" s="51" t="inlineStr"/>
      <c r="I20" s="30" t="inlineStr"/>
    </row>
    <row r="21" ht="22" customHeight="1">
      <c r="A21" s="30" t="inlineStr"/>
      <c r="B21" s="30" t="inlineStr"/>
      <c r="C21" s="30" t="inlineStr"/>
      <c r="D21" s="31" t="inlineStr"/>
      <c r="E21" s="51" t="inlineStr"/>
      <c r="F21" s="13">
        <f>IF(E21="","",TODAY()-E21)</f>
        <v/>
      </c>
      <c r="G21" s="30" t="inlineStr"/>
      <c r="H21" s="51" t="inlineStr"/>
      <c r="I21" s="30" t="inlineStr"/>
    </row>
    <row r="22" ht="22" customHeight="1">
      <c r="A22" s="30" t="inlineStr"/>
      <c r="B22" s="30" t="inlineStr"/>
      <c r="C22" s="30" t="inlineStr"/>
      <c r="D22" s="31" t="inlineStr"/>
      <c r="E22" s="51" t="inlineStr"/>
      <c r="F22" s="13">
        <f>IF(E22="","",TODAY()-E22)</f>
        <v/>
      </c>
      <c r="G22" s="30" t="inlineStr"/>
      <c r="H22" s="51" t="inlineStr"/>
      <c r="I22" s="30" t="inlineStr"/>
    </row>
    <row r="23" ht="22" customHeight="1">
      <c r="A23" s="30" t="inlineStr"/>
      <c r="B23" s="30" t="inlineStr"/>
      <c r="C23" s="30" t="inlineStr"/>
      <c r="D23" s="31" t="inlineStr"/>
      <c r="E23" s="51" t="inlineStr"/>
      <c r="F23" s="13">
        <f>IF(E23="","",TODAY()-E23)</f>
        <v/>
      </c>
      <c r="G23" s="30" t="inlineStr"/>
      <c r="H23" s="51" t="inlineStr"/>
      <c r="I23" s="30" t="inlineStr"/>
    </row>
    <row r="24" ht="22" customHeight="1">
      <c r="A24" s="30" t="inlineStr"/>
      <c r="B24" s="30" t="inlineStr"/>
      <c r="C24" s="30" t="inlineStr"/>
      <c r="D24" s="31" t="inlineStr"/>
      <c r="E24" s="51" t="inlineStr"/>
      <c r="F24" s="13">
        <f>IF(E24="","",TODAY()-E24)</f>
        <v/>
      </c>
      <c r="G24" s="30" t="inlineStr"/>
      <c r="H24" s="51" t="inlineStr"/>
      <c r="I24" s="30" t="inlineStr"/>
    </row>
    <row r="25" ht="22" customHeight="1">
      <c r="A25" s="30" t="inlineStr"/>
      <c r="B25" s="30" t="inlineStr"/>
      <c r="C25" s="30" t="inlineStr"/>
      <c r="D25" s="31" t="inlineStr"/>
      <c r="E25" s="51" t="inlineStr"/>
      <c r="F25" s="13">
        <f>IF(E25="","",TODAY()-E25)</f>
        <v/>
      </c>
      <c r="G25" s="30" t="inlineStr"/>
      <c r="H25" s="51" t="inlineStr"/>
      <c r="I25" s="30" t="inlineStr"/>
    </row>
    <row r="26" ht="22" customHeight="1">
      <c r="A26" s="30" t="inlineStr"/>
      <c r="B26" s="30" t="inlineStr"/>
      <c r="C26" s="30" t="inlineStr"/>
      <c r="D26" s="31" t="inlineStr"/>
      <c r="E26" s="51" t="inlineStr"/>
      <c r="F26" s="13">
        <f>IF(E26="","",TODAY()-E26)</f>
        <v/>
      </c>
      <c r="G26" s="30" t="inlineStr"/>
      <c r="H26" s="51" t="inlineStr"/>
      <c r="I26" s="30" t="inlineStr"/>
    </row>
    <row r="27" ht="22" customHeight="1">
      <c r="A27" s="30" t="inlineStr"/>
      <c r="B27" s="30" t="inlineStr"/>
      <c r="C27" s="30" t="inlineStr"/>
      <c r="D27" s="31" t="inlineStr"/>
      <c r="E27" s="51" t="inlineStr"/>
      <c r="F27" s="13">
        <f>IF(E27="","",TODAY()-E27)</f>
        <v/>
      </c>
      <c r="G27" s="30" t="inlineStr"/>
      <c r="H27" s="51" t="inlineStr"/>
      <c r="I27" s="30" t="inlineStr"/>
    </row>
    <row r="28" ht="22" customHeight="1">
      <c r="A28" s="30" t="inlineStr"/>
      <c r="B28" s="30" t="inlineStr"/>
      <c r="C28" s="30" t="inlineStr"/>
      <c r="D28" s="31" t="inlineStr"/>
      <c r="E28" s="51" t="inlineStr"/>
      <c r="F28" s="13">
        <f>IF(E28="","",TODAY()-E28)</f>
        <v/>
      </c>
      <c r="G28" s="30" t="inlineStr"/>
      <c r="H28" s="51" t="inlineStr"/>
      <c r="I28" s="30" t="inlineStr"/>
    </row>
    <row r="29" ht="22" customHeight="1">
      <c r="A29" s="30" t="inlineStr"/>
      <c r="B29" s="30" t="inlineStr"/>
      <c r="C29" s="30" t="inlineStr"/>
      <c r="D29" s="31" t="inlineStr"/>
      <c r="E29" s="51" t="inlineStr"/>
      <c r="F29" s="13">
        <f>IF(E29="","",TODAY()-E29)</f>
        <v/>
      </c>
      <c r="G29" s="30" t="inlineStr"/>
      <c r="H29" s="51" t="inlineStr"/>
      <c r="I29" s="30" t="inlineStr"/>
    </row>
    <row r="30" ht="22" customHeight="1">
      <c r="A30" s="30" t="inlineStr"/>
      <c r="B30" s="30" t="inlineStr"/>
      <c r="C30" s="30" t="inlineStr"/>
      <c r="D30" s="31" t="inlineStr"/>
      <c r="E30" s="51" t="inlineStr"/>
      <c r="F30" s="13">
        <f>IF(E30="","",TODAY()-E30)</f>
        <v/>
      </c>
      <c r="G30" s="30" t="inlineStr"/>
      <c r="H30" s="51" t="inlineStr"/>
      <c r="I30" s="30" t="inlineStr"/>
    </row>
    <row r="31" ht="22" customHeight="1">
      <c r="A31" s="30" t="inlineStr"/>
      <c r="B31" s="30" t="inlineStr"/>
      <c r="C31" s="30" t="inlineStr"/>
      <c r="D31" s="31" t="inlineStr"/>
      <c r="E31" s="51" t="inlineStr"/>
      <c r="F31" s="13">
        <f>IF(E31="","",TODAY()-E31)</f>
        <v/>
      </c>
      <c r="G31" s="30" t="inlineStr"/>
      <c r="H31" s="51" t="inlineStr"/>
      <c r="I31" s="30" t="inlineStr"/>
    </row>
    <row r="32" ht="22" customHeight="1">
      <c r="A32" s="30" t="inlineStr"/>
      <c r="B32" s="30" t="inlineStr"/>
      <c r="C32" s="30" t="inlineStr"/>
      <c r="D32" s="31" t="inlineStr"/>
      <c r="E32" s="51" t="inlineStr"/>
      <c r="F32" s="13">
        <f>IF(E32="","",TODAY()-E32)</f>
        <v/>
      </c>
      <c r="G32" s="30" t="inlineStr"/>
      <c r="H32" s="51" t="inlineStr"/>
      <c r="I32" s="30" t="inlineStr"/>
    </row>
    <row r="33" ht="22" customHeight="1">
      <c r="A33" s="30" t="inlineStr"/>
      <c r="B33" s="30" t="inlineStr"/>
      <c r="C33" s="30" t="inlineStr"/>
      <c r="D33" s="31" t="inlineStr"/>
      <c r="E33" s="51" t="inlineStr"/>
      <c r="F33" s="13">
        <f>IF(E33="","",TODAY()-E33)</f>
        <v/>
      </c>
      <c r="G33" s="30" t="inlineStr"/>
      <c r="H33" s="51" t="inlineStr"/>
      <c r="I33" s="30" t="inlineStr"/>
    </row>
    <row r="34" ht="22" customHeight="1">
      <c r="A34" s="30" t="inlineStr"/>
      <c r="B34" s="30" t="inlineStr"/>
      <c r="C34" s="30" t="inlineStr"/>
      <c r="D34" s="31" t="inlineStr"/>
      <c r="E34" s="51" t="inlineStr"/>
      <c r="F34" s="13">
        <f>IF(E34="","",TODAY()-E34)</f>
        <v/>
      </c>
      <c r="G34" s="30" t="inlineStr"/>
      <c r="H34" s="51" t="inlineStr"/>
      <c r="I34" s="30" t="inlineStr"/>
    </row>
    <row r="35" ht="22" customHeight="1">
      <c r="A35" s="30" t="inlineStr"/>
      <c r="B35" s="30" t="inlineStr"/>
      <c r="C35" s="30" t="inlineStr"/>
      <c r="D35" s="31" t="inlineStr"/>
      <c r="E35" s="51" t="inlineStr"/>
      <c r="F35" s="13">
        <f>IF(E35="","",TODAY()-E35)</f>
        <v/>
      </c>
      <c r="G35" s="30" t="inlineStr"/>
      <c r="H35" s="51" t="inlineStr"/>
      <c r="I35" s="30" t="inlineStr"/>
    </row>
    <row r="36" ht="22" customHeight="1">
      <c r="A36" s="30" t="inlineStr"/>
      <c r="B36" s="30" t="inlineStr"/>
      <c r="C36" s="30" t="inlineStr"/>
      <c r="D36" s="31" t="inlineStr"/>
      <c r="E36" s="51" t="inlineStr"/>
      <c r="F36" s="13">
        <f>IF(E36="","",TODAY()-E36)</f>
        <v/>
      </c>
      <c r="G36" s="30" t="inlineStr"/>
      <c r="H36" s="51" t="inlineStr"/>
      <c r="I36" s="30" t="inlineStr"/>
    </row>
    <row r="37" ht="22" customHeight="1">
      <c r="A37" s="30" t="inlineStr"/>
      <c r="B37" s="30" t="inlineStr"/>
      <c r="C37" s="30" t="inlineStr"/>
      <c r="D37" s="31" t="inlineStr"/>
      <c r="E37" s="51" t="inlineStr"/>
      <c r="F37" s="13">
        <f>IF(E37="","",TODAY()-E37)</f>
        <v/>
      </c>
      <c r="G37" s="30" t="inlineStr"/>
      <c r="H37" s="51" t="inlineStr"/>
      <c r="I37" s="30" t="inlineStr"/>
    </row>
    <row r="38" ht="22" customHeight="1">
      <c r="A38" s="30" t="inlineStr"/>
      <c r="B38" s="30" t="inlineStr"/>
      <c r="C38" s="30" t="inlineStr"/>
      <c r="D38" s="31" t="inlineStr"/>
      <c r="E38" s="51" t="inlineStr"/>
      <c r="F38" s="13">
        <f>IF(E38="","",TODAY()-E38)</f>
        <v/>
      </c>
      <c r="G38" s="30" t="inlineStr"/>
      <c r="H38" s="51" t="inlineStr"/>
      <c r="I38" s="30" t="inlineStr"/>
    </row>
    <row r="39" ht="22" customHeight="1">
      <c r="A39" s="30" t="inlineStr"/>
      <c r="B39" s="30" t="inlineStr"/>
      <c r="C39" s="30" t="inlineStr"/>
      <c r="D39" s="31" t="inlineStr"/>
      <c r="E39" s="51" t="inlineStr"/>
      <c r="F39" s="13">
        <f>IF(E39="","",TODAY()-E39)</f>
        <v/>
      </c>
      <c r="G39" s="30" t="inlineStr"/>
      <c r="H39" s="51" t="inlineStr"/>
      <c r="I39" s="30" t="inlineStr"/>
    </row>
    <row r="40" ht="22" customHeight="1">
      <c r="A40" s="30" t="inlineStr"/>
      <c r="B40" s="30" t="inlineStr"/>
      <c r="C40" s="30" t="inlineStr"/>
      <c r="D40" s="31" t="inlineStr"/>
      <c r="E40" s="51" t="inlineStr"/>
      <c r="F40" s="13">
        <f>IF(E40="","",TODAY()-E40)</f>
        <v/>
      </c>
      <c r="G40" s="30" t="inlineStr"/>
      <c r="H40" s="51" t="inlineStr"/>
      <c r="I40" s="30" t="inlineStr"/>
    </row>
    <row r="43" ht="22" customHeight="1">
      <c r="A43" s="52" t="inlineStr">
        <is>
          <t>▸ Total impayés — VALORCIA</t>
        </is>
      </c>
      <c r="D43" s="53">
        <f>SUMIF(A4:A40,"Valorcia",D4:D40)</f>
        <v/>
      </c>
    </row>
    <row r="44" ht="22" customHeight="1">
      <c r="A44" s="54" t="inlineStr">
        <is>
          <t>▸ Total impayés — LUCA CRÉATIONS</t>
        </is>
      </c>
      <c r="D44" s="55">
        <f>SUMIF(A4:A40,"Luca Créations",D4:D40)</f>
        <v/>
      </c>
    </row>
    <row r="45" ht="22" customHeight="1">
      <c r="A45" s="56" t="inlineStr">
        <is>
          <t>▸ Total impayés — 123 SPA</t>
        </is>
      </c>
      <c r="D45" s="57">
        <f>SUMIF(A4:A40,"123 SPA",D4:D40)</f>
        <v/>
      </c>
    </row>
    <row r="46" ht="28" customHeight="1">
      <c r="A46" s="44" t="inlineStr">
        <is>
          <t>🌍 TOTAL IMPAYÉS CONSOLIDÉ</t>
        </is>
      </c>
      <c r="D46" s="58">
        <f>SUM(D4:D40)</f>
        <v/>
      </c>
    </row>
  </sheetData>
  <autoFilter ref="A3:I40"/>
  <mergeCells count="5">
    <mergeCell ref="A44:C44"/>
    <mergeCell ref="A45:C45"/>
    <mergeCell ref="A46:C46"/>
    <mergeCell ref="A1:I1"/>
    <mergeCell ref="A43:C43"/>
  </mergeCells>
  <conditionalFormatting sqref="F4:F40">
    <cfRule type="cellIs" priority="1" operator="greaterThan" dxfId="5">
      <formula>30</formula>
    </cfRule>
    <cfRule type="cellIs" priority="2" operator="greaterThan" dxfId="2">
      <formula>0</formula>
    </cfRule>
  </conditionalFormatting>
  <conditionalFormatting sqref="G4:G40">
    <cfRule type="expression" priority="3" dxfId="3">
      <formula>$G4="Impayé"</formula>
    </cfRule>
    <cfRule type="expression" priority="4" dxfId="2">
      <formula>$G4="En retard"</formula>
    </cfRule>
    <cfRule type="expression" priority="5" dxfId="0">
      <formula>$G4="Payé"</formula>
    </cfRule>
    <cfRule type="expression" priority="6" dxfId="4">
      <formula>$G4="Litige"</formula>
    </cfRule>
    <cfRule type="expression" priority="7" dxfId="4">
      <formula>$G4="Annulé"</formula>
    </cfRule>
  </conditionalFormatting>
  <dataValidations count="2">
    <dataValidation sqref="A4:A40" showDropDown="0" showInputMessage="0" showErrorMessage="0" allowBlank="1" type="list">
      <formula1>"Valorcia,Luca Créations,123 SPA"</formula1>
    </dataValidation>
    <dataValidation sqref="G4:G40" showDropDown="0" showInputMessage="0" showErrorMessage="0" allowBlank="1" type="list">
      <formula1>"Impayé,En retard,Payé,Litige,Annulé"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34" customHeight="1">
      <c r="A1" s="59" t="inlineStr">
        <is>
          <t>📖  MODE D'EMPLOI — Suivi de trésorerie multi-sociétés</t>
        </is>
      </c>
    </row>
    <row r="2" ht="18" customHeight="1">
      <c r="A2" s="60" t="inlineStr"/>
    </row>
    <row r="3" ht="20" customHeight="1">
      <c r="A3" s="61" t="inlineStr">
        <is>
          <t>🎯 OBJECTIF DE CE FICHIER</t>
        </is>
      </c>
    </row>
    <row r="4" ht="18" customHeight="1">
      <c r="A4" s="62" t="inlineStr">
        <is>
          <t>Suivre en un coup d'œil les entrées et sorties d'argent prévisionnelles de vos 3 sociétés (Valorcia, Luca Créations, 123 SPA) sur 12 semaines, avec sous-totaux par société, total consolidé, et suivi automatique des impayés.</t>
        </is>
      </c>
    </row>
    <row r="5" ht="18" customHeight="1">
      <c r="A5" s="63" t="inlineStr"/>
    </row>
    <row r="6" ht="20" customHeight="1">
      <c r="A6" s="61" t="inlineStr">
        <is>
          <t>🏢 LES 3 SOCIÉTÉS</t>
        </is>
      </c>
    </row>
    <row r="7" ht="18" customHeight="1">
      <c r="A7" s="64" t="inlineStr">
        <is>
          <t xml:space="preserve">   🟣 Valorcia  —  couleur violette</t>
        </is>
      </c>
    </row>
    <row r="8" ht="18" customHeight="1">
      <c r="A8" s="65" t="inlineStr">
        <is>
          <t xml:space="preserve">   🟢 Luca Créations  —  couleur verte</t>
        </is>
      </c>
    </row>
    <row r="9" ht="18" customHeight="1">
      <c r="A9" s="66" t="inlineStr">
        <is>
          <t xml:space="preserve">   🔵 123 SPA  —  couleur bleue</t>
        </is>
      </c>
    </row>
    <row r="10" ht="18" customHeight="1">
      <c r="A10" s="63" t="inlineStr"/>
    </row>
    <row r="11" ht="20" customHeight="1">
      <c r="A11" s="61" t="inlineStr">
        <is>
          <t>📄 FEUILLE 1 : SUIVI TRÉSORERIE</t>
        </is>
      </c>
    </row>
    <row r="12" ht="18" customHeight="1">
      <c r="A12" s="62" t="inlineStr">
        <is>
          <t>Chaque ligne = une transaction (facture, achat, loyer, salaire…).</t>
        </is>
      </c>
    </row>
    <row r="13" ht="18" customHeight="1">
      <c r="A13" s="62" t="inlineStr">
        <is>
          <t>Colonnes à remplir :</t>
        </is>
      </c>
    </row>
    <row r="14" ht="18" customHeight="1">
      <c r="A14" s="67" t="inlineStr">
        <is>
          <t xml:space="preserve">   • A — Société (liste déroulante : Valorcia / Luca Créations / 123 SPA)</t>
        </is>
      </c>
    </row>
    <row r="15" ht="18" customHeight="1">
      <c r="A15" s="67" t="inlineStr">
        <is>
          <t xml:space="preserve">   • B — Nom du client, fournisseur ou tiers</t>
        </is>
      </c>
    </row>
    <row r="16" ht="18" customHeight="1">
      <c r="A16" s="67" t="inlineStr">
        <is>
          <t xml:space="preserve">   • C — Nom du projet ou nature de la dépense</t>
        </is>
      </c>
    </row>
    <row r="17" ht="18" customHeight="1">
      <c r="A17" s="67" t="inlineStr">
        <is>
          <t xml:space="preserve">   • D — Type : « Entrée » (rentre) ou « Sortie » (sort)</t>
        </is>
      </c>
    </row>
    <row r="18" ht="18" customHeight="1">
      <c r="A18" s="67" t="inlineStr">
        <is>
          <t xml:space="preserve">   • E — Montant HT en €</t>
        </is>
      </c>
    </row>
    <row r="19" ht="18" customHeight="1">
      <c r="A19" s="67" t="inlineStr">
        <is>
          <t xml:space="preserve">   • F — Date d'échéance (JJ/MM/AAAA)</t>
        </is>
      </c>
    </row>
    <row r="20" ht="18" customHeight="1">
      <c r="A20" s="67" t="inlineStr">
        <is>
          <t xml:space="preserve">   • G — Statut : Prévu / Payé / Impayé / En retard / Annulé</t>
        </is>
      </c>
    </row>
    <row r="21" ht="18" customHeight="1">
      <c r="A21" s="67" t="inlineStr">
        <is>
          <t xml:space="preserve">   • H → S — reporter le montant sur la semaine concernée (POSITIF pour une entrée, NÉGATIF pour une sortie)</t>
        </is>
      </c>
    </row>
    <row r="22" ht="18" customHeight="1">
      <c r="A22" s="63" t="inlineStr"/>
    </row>
    <row r="23" ht="20" customHeight="1">
      <c r="A23" s="61" t="inlineStr">
        <is>
          <t>📊 BLOCS DE SYNTHÈSE (bas du tableau)</t>
        </is>
      </c>
    </row>
    <row r="24" ht="18" customHeight="1">
      <c r="A24" s="62" t="inlineStr">
        <is>
          <t>Le fichier calcule automatiquement, semaine par semaine :</t>
        </is>
      </c>
    </row>
    <row r="25" ht="18" customHeight="1">
      <c r="A25" s="67" t="inlineStr">
        <is>
          <t xml:space="preserve">   • Entrées + Sorties + Solde net POUR CHAQUE SOCIÉTÉ (bloc coloré à sa charte)</t>
        </is>
      </c>
    </row>
    <row r="26" ht="18" customHeight="1">
      <c r="A26" s="67" t="inlineStr">
        <is>
          <t xml:space="preserve">   • Entrées + Sorties + Solde net CONSOLIDÉ (toutes sociétés confondues)</t>
        </is>
      </c>
    </row>
    <row r="27" ht="18" customHeight="1">
      <c r="A27" s="67" t="inlineStr">
        <is>
          <t xml:space="preserve">   • Solde cumulé consolidé (passe en rouge s'il devient négatif ⚠️)</t>
        </is>
      </c>
    </row>
    <row r="28" ht="18" customHeight="1">
      <c r="A28" s="63" t="inlineStr"/>
    </row>
    <row r="29" ht="20" customHeight="1">
      <c r="A29" s="61" t="inlineStr">
        <is>
          <t>🎨 CODE COULEURS AUTOMATIQUE (colonne Statut)</t>
        </is>
      </c>
    </row>
    <row r="30" ht="18" customHeight="1">
      <c r="A30" s="67" t="inlineStr">
        <is>
          <t xml:space="preserve">   🟢 Vert  = Payé</t>
        </is>
      </c>
    </row>
    <row r="31" ht="18" customHeight="1">
      <c r="A31" s="67" t="inlineStr">
        <is>
          <t xml:space="preserve">   🔵 Bleu  = Prévu</t>
        </is>
      </c>
    </row>
    <row r="32" ht="18" customHeight="1">
      <c r="A32" s="67" t="inlineStr">
        <is>
          <t xml:space="preserve">   🟠 Orange = En retard</t>
        </is>
      </c>
    </row>
    <row r="33" ht="18" customHeight="1">
      <c r="A33" s="67" t="inlineStr">
        <is>
          <t xml:space="preserve">   🔴 Rouge = Impayé</t>
        </is>
      </c>
    </row>
    <row r="34" ht="18" customHeight="1">
      <c r="A34" s="67" t="inlineStr">
        <is>
          <t xml:space="preserve">   ⚪ Gris = Annulé</t>
        </is>
      </c>
    </row>
    <row r="35" ht="18" customHeight="1">
      <c r="A35" s="63" t="inlineStr"/>
    </row>
    <row r="36" ht="20" customHeight="1">
      <c r="A36" s="68" t="inlineStr">
        <is>
          <t>🚨 FEUILLE 2 : SUIVI IMPAYÉS</t>
        </is>
      </c>
    </row>
    <row r="37" ht="18" customHeight="1">
      <c r="A37" s="62" t="inlineStr">
        <is>
          <t>Toutes les créances non réglées, avec calcul automatique du nombre de jours de retard depuis la date d'échéance.</t>
        </is>
      </c>
    </row>
    <row r="38" ht="18" customHeight="1">
      <c r="A38" s="62" t="inlineStr">
        <is>
          <t>Sous-totaux impayés par société + total consolidé en bas de tableau.</t>
        </is>
      </c>
    </row>
    <row r="39" ht="18" customHeight="1">
      <c r="A39" s="62" t="inlineStr">
        <is>
          <t>Colonne « Actions à mener » pour noter les relances à effectuer.</t>
        </is>
      </c>
    </row>
    <row r="40" ht="18" customHeight="1">
      <c r="A40" s="63" t="inlineStr"/>
    </row>
    <row r="41" ht="20" customHeight="1">
      <c r="A41" s="69" t="inlineStr">
        <is>
          <t>💡 ASTUCES</t>
        </is>
      </c>
    </row>
    <row r="42" ht="18" customHeight="1">
      <c r="A42" s="67" t="inlineStr">
        <is>
          <t xml:space="preserve">   • Utilisez les filtres pour voir uniquement une société ou un statut.</t>
        </is>
      </c>
    </row>
    <row r="43" ht="18" customHeight="1">
      <c r="A43" s="67" t="inlineStr">
        <is>
          <t xml:space="preserve">   • Volets figés : les colonnes A à G restent visibles en défilant.</t>
        </is>
      </c>
    </row>
    <row r="44" ht="18" customHeight="1">
      <c r="A44" s="67" t="inlineStr">
        <is>
          <t xml:space="preserve">   • Sauvegardez régulièrement une copie datée (ex : Suivi_treso_2026-12.xlsx).</t>
        </is>
      </c>
    </row>
    <row r="45" ht="18" customHeight="1">
      <c r="A45" s="67" t="inlineStr">
        <is>
          <t xml:space="preserve">   • Format d'impression : A3 paysage.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2026-08-16T10:07:02Z</dcterms:created>
  <dcterms:modified xmlns:dcterms="http://purl.org/dc/terms/" xmlns:xsi="http://www.w3.org/2001/XMLSchema-instance" xsi:type="dcterms:W3CDTF">2026-08-16T10:07:02Z</dcterms:modified>
</cp:coreProperties>
</file>