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trésorerie" sheetId="1" state="visible" r:id="rId1"/>
    <sheet xmlns:r="http://schemas.openxmlformats.org/officeDocument/2006/relationships" name="Suivi impayés" sheetId="2" state="visible" r:id="rId2"/>
    <sheet xmlns:r="http://schemas.openxmlformats.org/officeDocument/2006/relationships" name="Mode d'emploi" sheetId="3" state="visible" r:id="rId3"/>
  </sheets>
  <definedNames>
    <definedName name="_xlnm._FilterDatabase" localSheetId="1" hidden="1">'Suivi impayés'!$A$3:$I$40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&quot; €&quot;"/>
    <numFmt numFmtId="165" formatCode="#,##0&quot; €&quot;"/>
    <numFmt numFmtId="166" formatCode="yyyy-mm-dd"/>
    <numFmt numFmtId="167" formatCode="DD/MM/YYYY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b val="1"/>
      <i val="1"/>
      <color rgb="007F8C8D"/>
      <sz val="9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27AE60"/>
      <sz val="10"/>
    </font>
    <font>
      <name val="Calibri"/>
      <b val="1"/>
      <color rgb="00000000"/>
      <sz val="10"/>
    </font>
    <font>
      <name val="Calibri"/>
      <b val="1"/>
      <color rgb="00FFFFFF"/>
      <sz val="12"/>
    </font>
    <font>
      <name val="Calibri"/>
      <b val="1"/>
      <color rgb="00C0392B"/>
      <sz val="10"/>
    </font>
    <font>
      <name val="Calibri"/>
      <b val="1"/>
      <color rgb="00FFFFFF"/>
      <sz val="13"/>
    </font>
    <font>
      <name val="Calibri"/>
      <b val="1"/>
      <color rgb="00FFFFFF"/>
      <sz val="16"/>
    </font>
    <font>
      <name val="Calibri"/>
      <i val="1"/>
      <color rgb="00C0392B"/>
      <sz val="10"/>
    </font>
    <font>
      <name val="Calibri"/>
      <b val="1"/>
      <color rgb="00FFFFFF"/>
      <sz val="18"/>
    </font>
    <font>
      <name val="Calibri"/>
      <color rgb="00000000"/>
      <sz val="8"/>
    </font>
    <font>
      <name val="Calibri"/>
      <b val="1"/>
      <color rgb="001F3A93"/>
      <sz val="14"/>
    </font>
    <font>
      <name val="Calibri"/>
      <color rgb="00000000"/>
      <sz val="11"/>
    </font>
    <font>
      <name val="Calibri"/>
      <color rgb="00000000"/>
      <sz val="6"/>
    </font>
    <font>
      <name val="Calibri"/>
      <b val="1"/>
      <color rgb="00196F3D"/>
      <sz val="14"/>
    </font>
    <font>
      <name val="Calibri"/>
      <b val="1"/>
      <color rgb="00922B21"/>
      <sz val="14"/>
    </font>
    <font>
      <name val="Calibri"/>
      <b val="1"/>
      <color rgb="008E44AD"/>
      <sz val="10"/>
    </font>
    <font>
      <name val="Calibri"/>
      <b val="1"/>
      <color rgb="0016A085"/>
      <sz val="10"/>
    </font>
    <font>
      <name val="Calibri"/>
      <b val="1"/>
      <color rgb="002980B9"/>
      <sz val="10"/>
    </font>
    <font>
      <name val="Calibri"/>
      <b val="1"/>
      <color rgb="00C0392B"/>
      <sz val="14"/>
    </font>
    <font>
      <name val="Calibri"/>
      <b val="1"/>
      <color rgb="00E67E22"/>
      <sz val="14"/>
    </font>
  </fonts>
  <fills count="13">
    <fill>
      <patternFill/>
    </fill>
    <fill>
      <patternFill patternType="gray125"/>
    </fill>
    <fill>
      <patternFill patternType="solid">
        <fgColor rgb="001F3A93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196F3D"/>
      </patternFill>
    </fill>
    <fill>
      <patternFill patternType="solid">
        <fgColor rgb="00EAFAF1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FDEDEC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164" fontId="8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right" vertical="center"/>
    </xf>
    <xf numFmtId="0" fontId="4" fillId="9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164" fontId="11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center" vertical="center"/>
    </xf>
    <xf numFmtId="164" fontId="7" fillId="11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right" vertical="center"/>
    </xf>
    <xf numFmtId="165" fontId="10" fillId="10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165" fontId="5" fillId="3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right" vertical="center"/>
    </xf>
    <xf numFmtId="165" fontId="12" fillId="2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right" vertical="center"/>
    </xf>
    <xf numFmtId="165" fontId="12" fillId="12" borderId="1" applyAlignment="1" pivotButton="0" quotePrefix="0" xfId="0">
      <alignment horizontal="right" vertical="center"/>
    </xf>
    <xf numFmtId="0" fontId="13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left" vertical="center"/>
    </xf>
    <xf numFmtId="167" fontId="7" fillId="0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12" fillId="12" borderId="1" applyAlignment="1" pivotButton="0" quotePrefix="0" xfId="0">
      <alignment horizontal="right" vertical="center"/>
    </xf>
    <xf numFmtId="164" fontId="12" fillId="12" borderId="1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7">
    <dxf>
      <fill>
        <patternFill patternType="solid">
          <fgColor rgb="00D5F5E3"/>
        </patternFill>
      </fill>
    </dxf>
    <dxf>
      <fill>
        <patternFill patternType="solid">
          <fgColor rgb="00E8EEFC"/>
        </patternFill>
      </fill>
    </dxf>
    <dxf>
      <fill>
        <patternFill patternType="solid">
          <fgColor rgb="00FDEBD0"/>
        </patternFill>
      </fill>
    </dxf>
    <dxf>
      <fill>
        <patternFill patternType="solid">
          <fgColor rgb="00FADBD8"/>
        </patternFill>
      </fill>
    </dxf>
    <dxf>
      <fill>
        <patternFill patternType="solid">
          <fgColor rgb="00F2F3F4"/>
        </patternFill>
      </fill>
    </dxf>
    <dxf>
      <font>
        <b val="1"/>
        <color rgb="00FFFFFF"/>
        <sz val="13"/>
      </font>
      <fill>
        <patternFill patternType="solid">
          <fgColor rgb="00C0392B"/>
        </patternFill>
      </fill>
    </dxf>
    <dxf>
      <font>
        <b val="1"/>
        <color rgb="00FFFFFF"/>
      </font>
      <fill>
        <patternFill patternType="solid">
          <fgColor rgb="00C0392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3"/>
  <sheetViews>
    <sheetView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34" customHeight="1">
      <c r="A1" s="1" t="inlineStr">
        <is>
          <t>💰  SUIVI DE TRÉSORERIE PRÉVISIONNELLE  —  VALORCIA · LUCA CRÉATIONS · 123 SPA</t>
        </is>
      </c>
    </row>
    <row r="2" ht="22" customHeight="1">
      <c r="A2" s="2" t="inlineStr">
        <is>
          <t>Légende sociétés →</t>
        </is>
      </c>
      <c r="C2" s="3" t="inlineStr">
        <is>
          <t>● Valorcia</t>
        </is>
      </c>
      <c r="F2" s="4" t="inlineStr">
        <is>
          <t>● Luca Créations</t>
        </is>
      </c>
      <c r="I2" s="5" t="inlineStr">
        <is>
          <t>● 123 SPA</t>
        </is>
      </c>
    </row>
    <row r="4" ht="32" customHeight="1">
      <c r="A4" s="6" t="inlineStr">
        <is>
          <t>🟢  SECTION ENTRÉES  —  Argent qui rentre (recettes, factures clients…)</t>
        </is>
      </c>
    </row>
    <row r="5" ht="32" customHeight="1">
      <c r="A5" s="7" t="inlineStr">
        <is>
          <t>Société</t>
        </is>
      </c>
      <c r="B5" s="7" t="inlineStr">
        <is>
          <t>Nom client</t>
        </is>
      </c>
      <c r="C5" s="7" t="inlineStr">
        <is>
          <t>Projet</t>
        </is>
      </c>
      <c r="D5" s="7" t="inlineStr">
        <is>
          <t>Montant HT (€)</t>
        </is>
      </c>
      <c r="E5" s="7" t="inlineStr">
        <is>
          <t>Échéance</t>
        </is>
      </c>
      <c r="F5" s="7" t="inlineStr">
        <is>
          <t>Statut</t>
        </is>
      </c>
      <c r="G5" s="8" t="inlineStr">
        <is>
          <t>S33
10/08</t>
        </is>
      </c>
      <c r="H5" s="8" t="inlineStr">
        <is>
          <t>S34
17/08</t>
        </is>
      </c>
      <c r="I5" s="8" t="inlineStr">
        <is>
          <t>S35
24/08</t>
        </is>
      </c>
      <c r="J5" s="8" t="inlineStr">
        <is>
          <t>S36
31/08</t>
        </is>
      </c>
      <c r="K5" s="8" t="inlineStr">
        <is>
          <t>S37
07/09</t>
        </is>
      </c>
      <c r="L5" s="8" t="inlineStr">
        <is>
          <t>S38
14/09</t>
        </is>
      </c>
      <c r="M5" s="8" t="inlineStr">
        <is>
          <t>S39
21/09</t>
        </is>
      </c>
      <c r="N5" s="8" t="inlineStr">
        <is>
          <t>S40
28/09</t>
        </is>
      </c>
      <c r="O5" s="8" t="inlineStr">
        <is>
          <t>S41
05/10</t>
        </is>
      </c>
      <c r="P5" s="8" t="inlineStr">
        <is>
          <t>S42
12/10</t>
        </is>
      </c>
      <c r="Q5" s="8" t="inlineStr">
        <is>
          <t>S43
19/10</t>
        </is>
      </c>
      <c r="R5" s="8" t="inlineStr">
        <is>
          <t>S44
26/10</t>
        </is>
      </c>
    </row>
    <row r="6" ht="22" customHeight="1">
      <c r="A6" s="9" t="inlineStr">
        <is>
          <t>Valorcia</t>
        </is>
      </c>
      <c r="B6" s="10" t="inlineStr">
        <is>
          <t>Dupont SAS</t>
        </is>
      </c>
      <c r="C6" s="10" t="inlineStr">
        <is>
          <t>Facture prestation Alpha</t>
        </is>
      </c>
      <c r="D6" s="11" t="n">
        <v>4500</v>
      </c>
      <c r="E6" s="12" t="inlineStr">
        <is>
          <t>15/12/2026</t>
        </is>
      </c>
      <c r="F6" s="13" t="inlineStr">
        <is>
          <t>Payé</t>
        </is>
      </c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</row>
    <row r="7" ht="22" customHeight="1">
      <c r="A7" s="9" t="inlineStr">
        <is>
          <t>Valorcia</t>
        </is>
      </c>
      <c r="B7" s="10" t="inlineStr">
        <is>
          <t>Martin &amp; Fils</t>
        </is>
      </c>
      <c r="C7" s="10" t="inlineStr">
        <is>
          <t>Consulting projet Beta</t>
        </is>
      </c>
      <c r="D7" s="11" t="n">
        <v>6800</v>
      </c>
      <c r="E7" s="12" t="inlineStr">
        <is>
          <t>22/12/2026</t>
        </is>
      </c>
      <c r="F7" s="13" t="inlineStr">
        <is>
          <t>Prévu</t>
        </is>
      </c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</row>
    <row r="8" ht="22" customHeight="1">
      <c r="A8" s="15" t="inlineStr">
        <is>
          <t>Luca Créations</t>
        </is>
      </c>
      <c r="B8" s="10" t="inlineStr">
        <is>
          <t>Boutique Marie</t>
        </is>
      </c>
      <c r="C8" s="10" t="inlineStr">
        <is>
          <t>Création site vitrine</t>
        </is>
      </c>
      <c r="D8" s="11" t="n">
        <v>3200</v>
      </c>
      <c r="E8" s="12" t="inlineStr">
        <is>
          <t>18/12/2026</t>
        </is>
      </c>
      <c r="F8" s="13" t="inlineStr">
        <is>
          <t>Prévu</t>
        </is>
      </c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</row>
    <row r="9" ht="22" customHeight="1">
      <c r="A9" s="15" t="inlineStr">
        <is>
          <t>Luca Créations</t>
        </is>
      </c>
      <c r="B9" s="10" t="inlineStr">
        <is>
          <t>Client Durand</t>
        </is>
      </c>
      <c r="C9" s="10" t="inlineStr">
        <is>
          <t>Solde facture #2026-084</t>
        </is>
      </c>
      <c r="D9" s="11" t="n">
        <v>2300</v>
      </c>
      <c r="E9" s="12" t="inlineStr">
        <is>
          <t>10/12/2026</t>
        </is>
      </c>
      <c r="F9" s="13" t="inlineStr">
        <is>
          <t>En retard</t>
        </is>
      </c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</row>
    <row r="10" ht="22" customHeight="1">
      <c r="A10" s="16" t="inlineStr">
        <is>
          <t>123 SPA</t>
        </is>
      </c>
      <c r="B10" s="10" t="inlineStr">
        <is>
          <t>Client Petit</t>
        </is>
      </c>
      <c r="C10" s="10" t="inlineStr">
        <is>
          <t>Livraison + pose jacuzzi</t>
        </is>
      </c>
      <c r="D10" s="11" t="n">
        <v>5800</v>
      </c>
      <c r="E10" s="12" t="inlineStr">
        <is>
          <t>20/12/2026</t>
        </is>
      </c>
      <c r="F10" s="13" t="inlineStr">
        <is>
          <t>Prévu</t>
        </is>
      </c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</row>
    <row r="11" ht="22" customHeight="1">
      <c r="A11" s="16" t="inlineStr">
        <is>
          <t>123 SPA</t>
        </is>
      </c>
      <c r="B11" s="10" t="inlineStr">
        <is>
          <t>Client Leroy</t>
        </is>
      </c>
      <c r="C11" s="10" t="inlineStr">
        <is>
          <t>Acompte installation spa</t>
        </is>
      </c>
      <c r="D11" s="11" t="n">
        <v>1500</v>
      </c>
      <c r="E11" s="12" t="inlineStr">
        <is>
          <t>28/12/2026</t>
        </is>
      </c>
      <c r="F11" s="13" t="inlineStr">
        <is>
          <t>Impayé</t>
        </is>
      </c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</row>
    <row r="12" ht="20" customHeight="1">
      <c r="A12" s="10" t="inlineStr"/>
      <c r="B12" s="10" t="inlineStr"/>
      <c r="C12" s="10" t="inlineStr"/>
      <c r="D12" s="14" t="inlineStr"/>
      <c r="E12" s="10" t="inlineStr"/>
      <c r="F12" s="10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</row>
    <row r="13" ht="20" customHeight="1">
      <c r="A13" s="10" t="inlineStr"/>
      <c r="B13" s="10" t="inlineStr"/>
      <c r="C13" s="10" t="inlineStr"/>
      <c r="D13" s="14" t="inlineStr"/>
      <c r="E13" s="10" t="inlineStr"/>
      <c r="F13" s="10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</row>
    <row r="14" ht="20" customHeight="1">
      <c r="A14" s="10" t="inlineStr"/>
      <c r="B14" s="10" t="inlineStr"/>
      <c r="C14" s="10" t="inlineStr"/>
      <c r="D14" s="14" t="inlineStr"/>
      <c r="E14" s="10" t="inlineStr"/>
      <c r="F14" s="10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</row>
    <row r="15" ht="20" customHeight="1">
      <c r="A15" s="10" t="inlineStr"/>
      <c r="B15" s="10" t="inlineStr"/>
      <c r="C15" s="10" t="inlineStr"/>
      <c r="D15" s="14" t="inlineStr"/>
      <c r="E15" s="10" t="inlineStr"/>
      <c r="F15" s="10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</row>
    <row r="16" ht="20" customHeight="1">
      <c r="A16" s="10" t="inlineStr"/>
      <c r="B16" s="10" t="inlineStr"/>
      <c r="C16" s="10" t="inlineStr"/>
      <c r="D16" s="14" t="inlineStr"/>
      <c r="E16" s="10" t="inlineStr"/>
      <c r="F16" s="10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</row>
    <row r="17" ht="20" customHeight="1">
      <c r="A17" s="10" t="inlineStr"/>
      <c r="B17" s="10" t="inlineStr"/>
      <c r="C17" s="10" t="inlineStr"/>
      <c r="D17" s="14" t="inlineStr"/>
      <c r="E17" s="10" t="inlineStr"/>
      <c r="F17" s="10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</row>
    <row r="18" ht="20" customHeight="1">
      <c r="A18" s="10" t="inlineStr"/>
      <c r="B18" s="10" t="inlineStr"/>
      <c r="C18" s="10" t="inlineStr"/>
      <c r="D18" s="14" t="inlineStr"/>
      <c r="E18" s="10" t="inlineStr"/>
      <c r="F18" s="10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4" t="inlineStr"/>
    </row>
    <row r="19" ht="20" customHeight="1">
      <c r="A19" s="10" t="inlineStr"/>
      <c r="B19" s="10" t="inlineStr"/>
      <c r="C19" s="10" t="inlineStr"/>
      <c r="D19" s="14" t="inlineStr"/>
      <c r="E19" s="10" t="inlineStr"/>
      <c r="F19" s="10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</row>
    <row r="20" ht="20" customHeight="1">
      <c r="A20" s="10" t="inlineStr"/>
      <c r="B20" s="10" t="inlineStr"/>
      <c r="C20" s="10" t="inlineStr"/>
      <c r="D20" s="14" t="inlineStr"/>
      <c r="E20" s="10" t="inlineStr"/>
      <c r="F20" s="10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</row>
    <row r="21" ht="20" customHeight="1">
      <c r="A21" s="10" t="inlineStr"/>
      <c r="B21" s="10" t="inlineStr"/>
      <c r="C21" s="10" t="inlineStr"/>
      <c r="D21" s="14" t="inlineStr"/>
      <c r="E21" s="10" t="inlineStr"/>
      <c r="F21" s="10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4" t="inlineStr"/>
    </row>
    <row r="22" ht="20" customHeight="1">
      <c r="A22" s="10" t="inlineStr"/>
      <c r="B22" s="10" t="inlineStr"/>
      <c r="C22" s="10" t="inlineStr"/>
      <c r="D22" s="14" t="inlineStr"/>
      <c r="E22" s="10" t="inlineStr"/>
      <c r="F22" s="10" t="inlineStr"/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4" t="inlineStr"/>
    </row>
    <row r="23" ht="20" customHeight="1">
      <c r="A23" s="10" t="inlineStr"/>
      <c r="B23" s="10" t="inlineStr"/>
      <c r="C23" s="10" t="inlineStr"/>
      <c r="D23" s="14" t="inlineStr"/>
      <c r="E23" s="10" t="inlineStr"/>
      <c r="F23" s="10" t="inlineStr"/>
      <c r="G23" s="14" t="inlineStr"/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  <c r="P23" s="14" t="inlineStr"/>
      <c r="Q23" s="14" t="inlineStr"/>
      <c r="R23" s="14" t="inlineStr"/>
    </row>
    <row r="24" ht="20" customHeight="1">
      <c r="A24" s="10" t="inlineStr"/>
      <c r="B24" s="10" t="inlineStr"/>
      <c r="C24" s="10" t="inlineStr"/>
      <c r="D24" s="14" t="inlineStr"/>
      <c r="E24" s="10" t="inlineStr"/>
      <c r="F24" s="10" t="inlineStr"/>
      <c r="G24" s="14" t="inlineStr"/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  <c r="P24" s="14" t="inlineStr"/>
      <c r="Q24" s="14" t="inlineStr"/>
      <c r="R24" s="14" t="inlineStr"/>
    </row>
    <row r="25" ht="20" customHeight="1">
      <c r="A25" s="10" t="inlineStr"/>
      <c r="B25" s="10" t="inlineStr"/>
      <c r="C25" s="10" t="inlineStr"/>
      <c r="D25" s="14" t="inlineStr"/>
      <c r="E25" s="10" t="inlineStr"/>
      <c r="F25" s="10" t="inlineStr"/>
      <c r="G25" s="14" t="inlineStr"/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4" t="inlineStr"/>
      <c r="Q25" s="14" t="inlineStr"/>
      <c r="R25" s="14" t="inlineStr"/>
    </row>
    <row r="26" ht="22" customHeight="1">
      <c r="A26" s="17" t="inlineStr">
        <is>
          <t>▸ Total ENTRÉES — VALORCIA</t>
        </is>
      </c>
      <c r="G26" s="18">
        <f>SUMIF($A$6:$A$25,"Valorcia",G6:G25)</f>
        <v/>
      </c>
      <c r="H26" s="18">
        <f>SUMIF($A$6:$A$25,"Valorcia",H6:H25)</f>
        <v/>
      </c>
      <c r="I26" s="18">
        <f>SUMIF($A$6:$A$25,"Valorcia",I6:I25)</f>
        <v/>
      </c>
      <c r="J26" s="18">
        <f>SUMIF($A$6:$A$25,"Valorcia",J6:J25)</f>
        <v/>
      </c>
      <c r="K26" s="18">
        <f>SUMIF($A$6:$A$25,"Valorcia",K6:K25)</f>
        <v/>
      </c>
      <c r="L26" s="18">
        <f>SUMIF($A$6:$A$25,"Valorcia",L6:L25)</f>
        <v/>
      </c>
      <c r="M26" s="18">
        <f>SUMIF($A$6:$A$25,"Valorcia",M6:M25)</f>
        <v/>
      </c>
      <c r="N26" s="18">
        <f>SUMIF($A$6:$A$25,"Valorcia",N6:N25)</f>
        <v/>
      </c>
      <c r="O26" s="18">
        <f>SUMIF($A$6:$A$25,"Valorcia",O6:O25)</f>
        <v/>
      </c>
      <c r="P26" s="18">
        <f>SUMIF($A$6:$A$25,"Valorcia",P6:P25)</f>
        <v/>
      </c>
      <c r="Q26" s="18">
        <f>SUMIF($A$6:$A$25,"Valorcia",Q6:Q25)</f>
        <v/>
      </c>
      <c r="R26" s="18">
        <f>SUMIF($A$6:$A$25,"Valorcia",R6:R25)</f>
        <v/>
      </c>
    </row>
    <row r="27" ht="22" customHeight="1">
      <c r="A27" s="19" t="inlineStr">
        <is>
          <t>▸ Total ENTRÉES — LUCA CRÉATIONS</t>
        </is>
      </c>
      <c r="G27" s="20">
        <f>SUMIF($A$6:$A$25,"Luca Créations",G6:G25)</f>
        <v/>
      </c>
      <c r="H27" s="20">
        <f>SUMIF($A$6:$A$25,"Luca Créations",H6:H25)</f>
        <v/>
      </c>
      <c r="I27" s="20">
        <f>SUMIF($A$6:$A$25,"Luca Créations",I6:I25)</f>
        <v/>
      </c>
      <c r="J27" s="20">
        <f>SUMIF($A$6:$A$25,"Luca Créations",J6:J25)</f>
        <v/>
      </c>
      <c r="K27" s="20">
        <f>SUMIF($A$6:$A$25,"Luca Créations",K6:K25)</f>
        <v/>
      </c>
      <c r="L27" s="20">
        <f>SUMIF($A$6:$A$25,"Luca Créations",L6:L25)</f>
        <v/>
      </c>
      <c r="M27" s="20">
        <f>SUMIF($A$6:$A$25,"Luca Créations",M6:M25)</f>
        <v/>
      </c>
      <c r="N27" s="20">
        <f>SUMIF($A$6:$A$25,"Luca Créations",N6:N25)</f>
        <v/>
      </c>
      <c r="O27" s="20">
        <f>SUMIF($A$6:$A$25,"Luca Créations",O6:O25)</f>
        <v/>
      </c>
      <c r="P27" s="20">
        <f>SUMIF($A$6:$A$25,"Luca Créations",P6:P25)</f>
        <v/>
      </c>
      <c r="Q27" s="20">
        <f>SUMIF($A$6:$A$25,"Luca Créations",Q6:Q25)</f>
        <v/>
      </c>
      <c r="R27" s="20">
        <f>SUMIF($A$6:$A$25,"Luca Créations",R6:R25)</f>
        <v/>
      </c>
    </row>
    <row r="28" ht="22" customHeight="1">
      <c r="A28" s="21" t="inlineStr">
        <is>
          <t>▸ Total ENTRÉES — 123 SPA</t>
        </is>
      </c>
      <c r="G28" s="22">
        <f>SUMIF($A$6:$A$25,"123 SPA",G6:G25)</f>
        <v/>
      </c>
      <c r="H28" s="22">
        <f>SUMIF($A$6:$A$25,"123 SPA",H6:H25)</f>
        <v/>
      </c>
      <c r="I28" s="22">
        <f>SUMIF($A$6:$A$25,"123 SPA",I6:I25)</f>
        <v/>
      </c>
      <c r="J28" s="22">
        <f>SUMIF($A$6:$A$25,"123 SPA",J6:J25)</f>
        <v/>
      </c>
      <c r="K28" s="22">
        <f>SUMIF($A$6:$A$25,"123 SPA",K6:K25)</f>
        <v/>
      </c>
      <c r="L28" s="22">
        <f>SUMIF($A$6:$A$25,"123 SPA",L6:L25)</f>
        <v/>
      </c>
      <c r="M28" s="22">
        <f>SUMIF($A$6:$A$25,"123 SPA",M6:M25)</f>
        <v/>
      </c>
      <c r="N28" s="22">
        <f>SUMIF($A$6:$A$25,"123 SPA",N6:N25)</f>
        <v/>
      </c>
      <c r="O28" s="22">
        <f>SUMIF($A$6:$A$25,"123 SPA",O6:O25)</f>
        <v/>
      </c>
      <c r="P28" s="22">
        <f>SUMIF($A$6:$A$25,"123 SPA",P6:P25)</f>
        <v/>
      </c>
      <c r="Q28" s="22">
        <f>SUMIF($A$6:$A$25,"123 SPA",Q6:Q25)</f>
        <v/>
      </c>
      <c r="R28" s="22">
        <f>SUMIF($A$6:$A$25,"123 SPA",R6:R25)</f>
        <v/>
      </c>
    </row>
    <row r="29" ht="26" customHeight="1">
      <c r="A29" s="23" t="inlineStr">
        <is>
          <t>🌍 TOTAL ENTRÉES CONSOLIDÉ</t>
        </is>
      </c>
      <c r="G29" s="24">
        <f>SUM(G6:G25)</f>
        <v/>
      </c>
      <c r="H29" s="24">
        <f>SUM(H6:H25)</f>
        <v/>
      </c>
      <c r="I29" s="24">
        <f>SUM(I6:I25)</f>
        <v/>
      </c>
      <c r="J29" s="24">
        <f>SUM(J6:J25)</f>
        <v/>
      </c>
      <c r="K29" s="24">
        <f>SUM(K6:K25)</f>
        <v/>
      </c>
      <c r="L29" s="24">
        <f>SUM(L6:L25)</f>
        <v/>
      </c>
      <c r="M29" s="24">
        <f>SUM(M6:M25)</f>
        <v/>
      </c>
      <c r="N29" s="24">
        <f>SUM(N6:N25)</f>
        <v/>
      </c>
      <c r="O29" s="24">
        <f>SUM(O6:O25)</f>
        <v/>
      </c>
      <c r="P29" s="24">
        <f>SUM(P6:P25)</f>
        <v/>
      </c>
      <c r="Q29" s="24">
        <f>SUM(Q6:Q25)</f>
        <v/>
      </c>
      <c r="R29" s="24">
        <f>SUM(R6:R25)</f>
        <v/>
      </c>
    </row>
    <row r="31" ht="32" customHeight="1">
      <c r="A31" s="25" t="inlineStr">
        <is>
          <t>🔴  SECTION SORTIES  —  Argent qui sort (achats, loyers, salaires…)</t>
        </is>
      </c>
    </row>
    <row r="32" ht="32" customHeight="1">
      <c r="A32" s="26" t="inlineStr">
        <is>
          <t>Société</t>
        </is>
      </c>
      <c r="B32" s="26" t="inlineStr">
        <is>
          <t>Nom client</t>
        </is>
      </c>
      <c r="C32" s="26" t="inlineStr">
        <is>
          <t>Projet</t>
        </is>
      </c>
      <c r="D32" s="26" t="inlineStr">
        <is>
          <t>Montant HT (€)</t>
        </is>
      </c>
      <c r="E32" s="26" t="inlineStr">
        <is>
          <t>Échéance</t>
        </is>
      </c>
      <c r="F32" s="26" t="inlineStr">
        <is>
          <t>Statut</t>
        </is>
      </c>
      <c r="G32" s="27" t="inlineStr">
        <is>
          <t>S33
10/08</t>
        </is>
      </c>
      <c r="H32" s="27" t="inlineStr">
        <is>
          <t>S34
17/08</t>
        </is>
      </c>
      <c r="I32" s="27" t="inlineStr">
        <is>
          <t>S35
24/08</t>
        </is>
      </c>
      <c r="J32" s="27" t="inlineStr">
        <is>
          <t>S36
31/08</t>
        </is>
      </c>
      <c r="K32" s="27" t="inlineStr">
        <is>
          <t>S37
07/09</t>
        </is>
      </c>
      <c r="L32" s="27" t="inlineStr">
        <is>
          <t>S38
14/09</t>
        </is>
      </c>
      <c r="M32" s="27" t="inlineStr">
        <is>
          <t>S39
21/09</t>
        </is>
      </c>
      <c r="N32" s="27" t="inlineStr">
        <is>
          <t>S40
28/09</t>
        </is>
      </c>
      <c r="O32" s="27" t="inlineStr">
        <is>
          <t>S41
05/10</t>
        </is>
      </c>
      <c r="P32" s="27" t="inlineStr">
        <is>
          <t>S42
12/10</t>
        </is>
      </c>
      <c r="Q32" s="27" t="inlineStr">
        <is>
          <t>S43
19/10</t>
        </is>
      </c>
      <c r="R32" s="27" t="inlineStr">
        <is>
          <t>S44
26/10</t>
        </is>
      </c>
    </row>
    <row r="33" ht="22" customHeight="1">
      <c r="A33" s="9" t="inlineStr">
        <is>
          <t>Valorcia</t>
        </is>
      </c>
      <c r="B33" s="28" t="inlineStr">
        <is>
          <t>Loyer bureau</t>
        </is>
      </c>
      <c r="C33" s="28" t="inlineStr">
        <is>
          <t>Décembre 2026</t>
        </is>
      </c>
      <c r="D33" s="29" t="n">
        <v>1200</v>
      </c>
      <c r="E33" s="30" t="inlineStr">
        <is>
          <t>05/12/2026</t>
        </is>
      </c>
      <c r="F33" s="13" t="inlineStr">
        <is>
          <t>Payé</t>
        </is>
      </c>
      <c r="G33" s="31" t="inlineStr"/>
      <c r="H33" s="31" t="inlineStr"/>
      <c r="I33" s="31" t="inlineStr"/>
      <c r="J33" s="31" t="inlineStr"/>
      <c r="K33" s="31" t="inlineStr"/>
      <c r="L33" s="31" t="inlineStr"/>
      <c r="M33" s="31" t="inlineStr"/>
      <c r="N33" s="31" t="inlineStr"/>
      <c r="O33" s="31" t="inlineStr"/>
      <c r="P33" s="31" t="inlineStr"/>
      <c r="Q33" s="31" t="inlineStr"/>
      <c r="R33" s="31" t="inlineStr"/>
    </row>
    <row r="34" ht="22" customHeight="1">
      <c r="A34" s="9" t="inlineStr">
        <is>
          <t>Valorcia</t>
        </is>
      </c>
      <c r="B34" s="28" t="inlineStr">
        <is>
          <t>URSSAF</t>
        </is>
      </c>
      <c r="C34" s="28" t="inlineStr">
        <is>
          <t>Cotisations sociales</t>
        </is>
      </c>
      <c r="D34" s="29" t="n">
        <v>850</v>
      </c>
      <c r="E34" s="30" t="inlineStr">
        <is>
          <t>15/12/2026</t>
        </is>
      </c>
      <c r="F34" s="13" t="inlineStr">
        <is>
          <t>Prévu</t>
        </is>
      </c>
      <c r="G34" s="31" t="inlineStr"/>
      <c r="H34" s="31" t="inlineStr"/>
      <c r="I34" s="31" t="inlineStr"/>
      <c r="J34" s="31" t="inlineStr"/>
      <c r="K34" s="31" t="inlineStr"/>
      <c r="L34" s="31" t="inlineStr"/>
      <c r="M34" s="31" t="inlineStr"/>
      <c r="N34" s="31" t="inlineStr"/>
      <c r="O34" s="31" t="inlineStr"/>
      <c r="P34" s="31" t="inlineStr"/>
      <c r="Q34" s="31" t="inlineStr"/>
      <c r="R34" s="31" t="inlineStr"/>
    </row>
    <row r="35" ht="22" customHeight="1">
      <c r="A35" s="15" t="inlineStr">
        <is>
          <t>Luca Créations</t>
        </is>
      </c>
      <c r="B35" s="28" t="inlineStr">
        <is>
          <t>Fournisseur print</t>
        </is>
      </c>
      <c r="C35" s="28" t="inlineStr">
        <is>
          <t>Impression flyers</t>
        </is>
      </c>
      <c r="D35" s="29" t="n">
        <v>450</v>
      </c>
      <c r="E35" s="30" t="inlineStr">
        <is>
          <t>12/12/2026</t>
        </is>
      </c>
      <c r="F35" s="13" t="inlineStr">
        <is>
          <t>Payé</t>
        </is>
      </c>
      <c r="G35" s="31" t="inlineStr"/>
      <c r="H35" s="31" t="inlineStr"/>
      <c r="I35" s="31" t="inlineStr"/>
      <c r="J35" s="31" t="inlineStr"/>
      <c r="K35" s="31" t="inlineStr"/>
      <c r="L35" s="31" t="inlineStr"/>
      <c r="M35" s="31" t="inlineStr"/>
      <c r="N35" s="31" t="inlineStr"/>
      <c r="O35" s="31" t="inlineStr"/>
      <c r="P35" s="31" t="inlineStr"/>
      <c r="Q35" s="31" t="inlineStr"/>
      <c r="R35" s="31" t="inlineStr"/>
    </row>
    <row r="36" ht="22" customHeight="1">
      <c r="A36" s="15" t="inlineStr">
        <is>
          <t>Luca Créations</t>
        </is>
      </c>
      <c r="B36" s="28" t="inlineStr">
        <is>
          <t>Adobe Cloud</t>
        </is>
      </c>
      <c r="C36" s="28" t="inlineStr">
        <is>
          <t>Abonnement mensuel</t>
        </is>
      </c>
      <c r="D36" s="29" t="n">
        <v>60</v>
      </c>
      <c r="E36" s="30" t="inlineStr">
        <is>
          <t>01/12/2026</t>
        </is>
      </c>
      <c r="F36" s="13" t="inlineStr">
        <is>
          <t>Payé</t>
        </is>
      </c>
      <c r="G36" s="31" t="inlineStr"/>
      <c r="H36" s="31" t="inlineStr"/>
      <c r="I36" s="31" t="inlineStr"/>
      <c r="J36" s="31" t="inlineStr"/>
      <c r="K36" s="31" t="inlineStr"/>
      <c r="L36" s="31" t="inlineStr"/>
      <c r="M36" s="31" t="inlineStr"/>
      <c r="N36" s="31" t="inlineStr"/>
      <c r="O36" s="31" t="inlineStr"/>
      <c r="P36" s="31" t="inlineStr"/>
      <c r="Q36" s="31" t="inlineStr"/>
      <c r="R36" s="31" t="inlineStr"/>
    </row>
    <row r="37" ht="22" customHeight="1">
      <c r="A37" s="16" t="inlineStr">
        <is>
          <t>123 SPA</t>
        </is>
      </c>
      <c r="B37" s="28" t="inlineStr">
        <is>
          <t>Tonio (Plancha)</t>
        </is>
      </c>
      <c r="C37" s="28" t="inlineStr">
        <is>
          <t>Achat accessoires F.51388</t>
        </is>
      </c>
      <c r="D37" s="29" t="n">
        <v>69</v>
      </c>
      <c r="E37" s="30" t="inlineStr">
        <is>
          <t>17/12/2026</t>
        </is>
      </c>
      <c r="F37" s="13" t="inlineStr">
        <is>
          <t>Payé</t>
        </is>
      </c>
      <c r="G37" s="31" t="inlineStr"/>
      <c r="H37" s="31" t="inlineStr"/>
      <c r="I37" s="31" t="inlineStr"/>
      <c r="J37" s="31" t="inlineStr"/>
      <c r="K37" s="31" t="inlineStr"/>
      <c r="L37" s="31" t="inlineStr"/>
      <c r="M37" s="31" t="inlineStr"/>
      <c r="N37" s="31" t="inlineStr"/>
      <c r="O37" s="31" t="inlineStr"/>
      <c r="P37" s="31" t="inlineStr"/>
      <c r="Q37" s="31" t="inlineStr"/>
      <c r="R37" s="31" t="inlineStr"/>
    </row>
    <row r="38" ht="22" customHeight="1">
      <c r="A38" s="16" t="inlineStr">
        <is>
          <t>123 SPA</t>
        </is>
      </c>
      <c r="B38" s="28" t="inlineStr">
        <is>
          <t>Fournisseur PoolPro</t>
        </is>
      </c>
      <c r="C38" s="28" t="inlineStr">
        <is>
          <t>Kit filtration</t>
        </is>
      </c>
      <c r="D38" s="29" t="n">
        <v>1250</v>
      </c>
      <c r="E38" s="30" t="inlineStr">
        <is>
          <t>18/12/2026</t>
        </is>
      </c>
      <c r="F38" s="13" t="inlineStr">
        <is>
          <t>Prévu</t>
        </is>
      </c>
      <c r="G38" s="31" t="inlineStr"/>
      <c r="H38" s="31" t="inlineStr"/>
      <c r="I38" s="31" t="inlineStr"/>
      <c r="J38" s="31" t="inlineStr"/>
      <c r="K38" s="31" t="inlineStr"/>
      <c r="L38" s="31" t="inlineStr"/>
      <c r="M38" s="31" t="inlineStr"/>
      <c r="N38" s="31" t="inlineStr"/>
      <c r="O38" s="31" t="inlineStr"/>
      <c r="P38" s="31" t="inlineStr"/>
      <c r="Q38" s="31" t="inlineStr"/>
      <c r="R38" s="31" t="inlineStr"/>
    </row>
    <row r="39" ht="20" customHeight="1">
      <c r="A39" s="28" t="inlineStr"/>
      <c r="B39" s="28" t="inlineStr"/>
      <c r="C39" s="28" t="inlineStr"/>
      <c r="D39" s="31" t="inlineStr"/>
      <c r="E39" s="28" t="inlineStr"/>
      <c r="F39" s="28" t="inlineStr"/>
      <c r="G39" s="31" t="inlineStr"/>
      <c r="H39" s="31" t="inlineStr"/>
      <c r="I39" s="31" t="inlineStr"/>
      <c r="J39" s="31" t="inlineStr"/>
      <c r="K39" s="31" t="inlineStr"/>
      <c r="L39" s="31" t="inlineStr"/>
      <c r="M39" s="31" t="inlineStr"/>
      <c r="N39" s="31" t="inlineStr"/>
      <c r="O39" s="31" t="inlineStr"/>
      <c r="P39" s="31" t="inlineStr"/>
      <c r="Q39" s="31" t="inlineStr"/>
      <c r="R39" s="31" t="inlineStr"/>
    </row>
    <row r="40" ht="20" customHeight="1">
      <c r="A40" s="28" t="inlineStr"/>
      <c r="B40" s="28" t="inlineStr"/>
      <c r="C40" s="28" t="inlineStr"/>
      <c r="D40" s="31" t="inlineStr"/>
      <c r="E40" s="28" t="inlineStr"/>
      <c r="F40" s="28" t="inlineStr"/>
      <c r="G40" s="31" t="inlineStr"/>
      <c r="H40" s="31" t="inlineStr"/>
      <c r="I40" s="31" t="inlineStr"/>
      <c r="J40" s="31" t="inlineStr"/>
      <c r="K40" s="31" t="inlineStr"/>
      <c r="L40" s="31" t="inlineStr"/>
      <c r="M40" s="31" t="inlineStr"/>
      <c r="N40" s="31" t="inlineStr"/>
      <c r="O40" s="31" t="inlineStr"/>
      <c r="P40" s="31" t="inlineStr"/>
      <c r="Q40" s="31" t="inlineStr"/>
      <c r="R40" s="31" t="inlineStr"/>
    </row>
    <row r="41" ht="20" customHeight="1">
      <c r="A41" s="28" t="inlineStr"/>
      <c r="B41" s="28" t="inlineStr"/>
      <c r="C41" s="28" t="inlineStr"/>
      <c r="D41" s="31" t="inlineStr"/>
      <c r="E41" s="28" t="inlineStr"/>
      <c r="F41" s="28" t="inlineStr"/>
      <c r="G41" s="31" t="inlineStr"/>
      <c r="H41" s="31" t="inlineStr"/>
      <c r="I41" s="31" t="inlineStr"/>
      <c r="J41" s="31" t="inlineStr"/>
      <c r="K41" s="31" t="inlineStr"/>
      <c r="L41" s="31" t="inlineStr"/>
      <c r="M41" s="31" t="inlineStr"/>
      <c r="N41" s="31" t="inlineStr"/>
      <c r="O41" s="31" t="inlineStr"/>
      <c r="P41" s="31" t="inlineStr"/>
      <c r="Q41" s="31" t="inlineStr"/>
      <c r="R41" s="31" t="inlineStr"/>
    </row>
    <row r="42" ht="20" customHeight="1">
      <c r="A42" s="28" t="inlineStr"/>
      <c r="B42" s="28" t="inlineStr"/>
      <c r="C42" s="28" t="inlineStr"/>
      <c r="D42" s="31" t="inlineStr"/>
      <c r="E42" s="28" t="inlineStr"/>
      <c r="F42" s="28" t="inlineStr"/>
      <c r="G42" s="31" t="inlineStr"/>
      <c r="H42" s="31" t="inlineStr"/>
      <c r="I42" s="31" t="inlineStr"/>
      <c r="J42" s="31" t="inlineStr"/>
      <c r="K42" s="31" t="inlineStr"/>
      <c r="L42" s="31" t="inlineStr"/>
      <c r="M42" s="31" t="inlineStr"/>
      <c r="N42" s="31" t="inlineStr"/>
      <c r="O42" s="31" t="inlineStr"/>
      <c r="P42" s="31" t="inlineStr"/>
      <c r="Q42" s="31" t="inlineStr"/>
      <c r="R42" s="31" t="inlineStr"/>
    </row>
    <row r="43" ht="20" customHeight="1">
      <c r="A43" s="28" t="inlineStr"/>
      <c r="B43" s="28" t="inlineStr"/>
      <c r="C43" s="28" t="inlineStr"/>
      <c r="D43" s="31" t="inlineStr"/>
      <c r="E43" s="28" t="inlineStr"/>
      <c r="F43" s="28" t="inlineStr"/>
      <c r="G43" s="31" t="inlineStr"/>
      <c r="H43" s="31" t="inlineStr"/>
      <c r="I43" s="31" t="inlineStr"/>
      <c r="J43" s="31" t="inlineStr"/>
      <c r="K43" s="31" t="inlineStr"/>
      <c r="L43" s="31" t="inlineStr"/>
      <c r="M43" s="31" t="inlineStr"/>
      <c r="N43" s="31" t="inlineStr"/>
      <c r="O43" s="31" t="inlineStr"/>
      <c r="P43" s="31" t="inlineStr"/>
      <c r="Q43" s="31" t="inlineStr"/>
      <c r="R43" s="31" t="inlineStr"/>
    </row>
    <row r="44" ht="20" customHeight="1">
      <c r="A44" s="28" t="inlineStr"/>
      <c r="B44" s="28" t="inlineStr"/>
      <c r="C44" s="28" t="inlineStr"/>
      <c r="D44" s="31" t="inlineStr"/>
      <c r="E44" s="28" t="inlineStr"/>
      <c r="F44" s="28" t="inlineStr"/>
      <c r="G44" s="31" t="inlineStr"/>
      <c r="H44" s="31" t="inlineStr"/>
      <c r="I44" s="31" t="inlineStr"/>
      <c r="J44" s="31" t="inlineStr"/>
      <c r="K44" s="31" t="inlineStr"/>
      <c r="L44" s="31" t="inlineStr"/>
      <c r="M44" s="31" t="inlineStr"/>
      <c r="N44" s="31" t="inlineStr"/>
      <c r="O44" s="31" t="inlineStr"/>
      <c r="P44" s="31" t="inlineStr"/>
      <c r="Q44" s="31" t="inlineStr"/>
      <c r="R44" s="31" t="inlineStr"/>
    </row>
    <row r="45" ht="20" customHeight="1">
      <c r="A45" s="28" t="inlineStr"/>
      <c r="B45" s="28" t="inlineStr"/>
      <c r="C45" s="28" t="inlineStr"/>
      <c r="D45" s="31" t="inlineStr"/>
      <c r="E45" s="28" t="inlineStr"/>
      <c r="F45" s="28" t="inlineStr"/>
      <c r="G45" s="31" t="inlineStr"/>
      <c r="H45" s="31" t="inlineStr"/>
      <c r="I45" s="31" t="inlineStr"/>
      <c r="J45" s="31" t="inlineStr"/>
      <c r="K45" s="31" t="inlineStr"/>
      <c r="L45" s="31" t="inlineStr"/>
      <c r="M45" s="31" t="inlineStr"/>
      <c r="N45" s="31" t="inlineStr"/>
      <c r="O45" s="31" t="inlineStr"/>
      <c r="P45" s="31" t="inlineStr"/>
      <c r="Q45" s="31" t="inlineStr"/>
      <c r="R45" s="31" t="inlineStr"/>
    </row>
    <row r="46" ht="20" customHeight="1">
      <c r="A46" s="28" t="inlineStr"/>
      <c r="B46" s="28" t="inlineStr"/>
      <c r="C46" s="28" t="inlineStr"/>
      <c r="D46" s="31" t="inlineStr"/>
      <c r="E46" s="28" t="inlineStr"/>
      <c r="F46" s="28" t="inlineStr"/>
      <c r="G46" s="31" t="inlineStr"/>
      <c r="H46" s="31" t="inlineStr"/>
      <c r="I46" s="31" t="inlineStr"/>
      <c r="J46" s="31" t="inlineStr"/>
      <c r="K46" s="31" t="inlineStr"/>
      <c r="L46" s="31" t="inlineStr"/>
      <c r="M46" s="31" t="inlineStr"/>
      <c r="N46" s="31" t="inlineStr"/>
      <c r="O46" s="31" t="inlineStr"/>
      <c r="P46" s="31" t="inlineStr"/>
      <c r="Q46" s="31" t="inlineStr"/>
      <c r="R46" s="31" t="inlineStr"/>
    </row>
    <row r="47" ht="20" customHeight="1">
      <c r="A47" s="28" t="inlineStr"/>
      <c r="B47" s="28" t="inlineStr"/>
      <c r="C47" s="28" t="inlineStr"/>
      <c r="D47" s="31" t="inlineStr"/>
      <c r="E47" s="28" t="inlineStr"/>
      <c r="F47" s="28" t="inlineStr"/>
      <c r="G47" s="31" t="inlineStr"/>
      <c r="H47" s="31" t="inlineStr"/>
      <c r="I47" s="31" t="inlineStr"/>
      <c r="J47" s="31" t="inlineStr"/>
      <c r="K47" s="31" t="inlineStr"/>
      <c r="L47" s="31" t="inlineStr"/>
      <c r="M47" s="31" t="inlineStr"/>
      <c r="N47" s="31" t="inlineStr"/>
      <c r="O47" s="31" t="inlineStr"/>
      <c r="P47" s="31" t="inlineStr"/>
      <c r="Q47" s="31" t="inlineStr"/>
      <c r="R47" s="31" t="inlineStr"/>
    </row>
    <row r="48" ht="20" customHeight="1">
      <c r="A48" s="28" t="inlineStr"/>
      <c r="B48" s="28" t="inlineStr"/>
      <c r="C48" s="28" t="inlineStr"/>
      <c r="D48" s="31" t="inlineStr"/>
      <c r="E48" s="28" t="inlineStr"/>
      <c r="F48" s="28" t="inlineStr"/>
      <c r="G48" s="31" t="inlineStr"/>
      <c r="H48" s="31" t="inlineStr"/>
      <c r="I48" s="31" t="inlineStr"/>
      <c r="J48" s="31" t="inlineStr"/>
      <c r="K48" s="31" t="inlineStr"/>
      <c r="L48" s="31" t="inlineStr"/>
      <c r="M48" s="31" t="inlineStr"/>
      <c r="N48" s="31" t="inlineStr"/>
      <c r="O48" s="31" t="inlineStr"/>
      <c r="P48" s="31" t="inlineStr"/>
      <c r="Q48" s="31" t="inlineStr"/>
      <c r="R48" s="31" t="inlineStr"/>
    </row>
    <row r="49" ht="20" customHeight="1">
      <c r="A49" s="28" t="inlineStr"/>
      <c r="B49" s="28" t="inlineStr"/>
      <c r="C49" s="28" t="inlineStr"/>
      <c r="D49" s="31" t="inlineStr"/>
      <c r="E49" s="28" t="inlineStr"/>
      <c r="F49" s="28" t="inlineStr"/>
      <c r="G49" s="31" t="inlineStr"/>
      <c r="H49" s="31" t="inlineStr"/>
      <c r="I49" s="31" t="inlineStr"/>
      <c r="J49" s="31" t="inlineStr"/>
      <c r="K49" s="31" t="inlineStr"/>
      <c r="L49" s="31" t="inlineStr"/>
      <c r="M49" s="31" t="inlineStr"/>
      <c r="N49" s="31" t="inlineStr"/>
      <c r="O49" s="31" t="inlineStr"/>
      <c r="P49" s="31" t="inlineStr"/>
      <c r="Q49" s="31" t="inlineStr"/>
      <c r="R49" s="31" t="inlineStr"/>
    </row>
    <row r="50" ht="20" customHeight="1">
      <c r="A50" s="28" t="inlineStr"/>
      <c r="B50" s="28" t="inlineStr"/>
      <c r="C50" s="28" t="inlineStr"/>
      <c r="D50" s="31" t="inlineStr"/>
      <c r="E50" s="28" t="inlineStr"/>
      <c r="F50" s="28" t="inlineStr"/>
      <c r="G50" s="31" t="inlineStr"/>
      <c r="H50" s="31" t="inlineStr"/>
      <c r="I50" s="31" t="inlineStr"/>
      <c r="J50" s="31" t="inlineStr"/>
      <c r="K50" s="31" t="inlineStr"/>
      <c r="L50" s="31" t="inlineStr"/>
      <c r="M50" s="31" t="inlineStr"/>
      <c r="N50" s="31" t="inlineStr"/>
      <c r="O50" s="31" t="inlineStr"/>
      <c r="P50" s="31" t="inlineStr"/>
      <c r="Q50" s="31" t="inlineStr"/>
      <c r="R50" s="31" t="inlineStr"/>
    </row>
    <row r="51" ht="20" customHeight="1">
      <c r="A51" s="28" t="inlineStr"/>
      <c r="B51" s="28" t="inlineStr"/>
      <c r="C51" s="28" t="inlineStr"/>
      <c r="D51" s="31" t="inlineStr"/>
      <c r="E51" s="28" t="inlineStr"/>
      <c r="F51" s="28" t="inlineStr"/>
      <c r="G51" s="31" t="inlineStr"/>
      <c r="H51" s="31" t="inlineStr"/>
      <c r="I51" s="31" t="inlineStr"/>
      <c r="J51" s="31" t="inlineStr"/>
      <c r="K51" s="31" t="inlineStr"/>
      <c r="L51" s="31" t="inlineStr"/>
      <c r="M51" s="31" t="inlineStr"/>
      <c r="N51" s="31" t="inlineStr"/>
      <c r="O51" s="31" t="inlineStr"/>
      <c r="P51" s="31" t="inlineStr"/>
      <c r="Q51" s="31" t="inlineStr"/>
      <c r="R51" s="31" t="inlineStr"/>
    </row>
    <row r="52" ht="20" customHeight="1">
      <c r="A52" s="28" t="inlineStr"/>
      <c r="B52" s="28" t="inlineStr"/>
      <c r="C52" s="28" t="inlineStr"/>
      <c r="D52" s="31" t="inlineStr"/>
      <c r="E52" s="28" t="inlineStr"/>
      <c r="F52" s="28" t="inlineStr"/>
      <c r="G52" s="31" t="inlineStr"/>
      <c r="H52" s="31" t="inlineStr"/>
      <c r="I52" s="31" t="inlineStr"/>
      <c r="J52" s="31" t="inlineStr"/>
      <c r="K52" s="31" t="inlineStr"/>
      <c r="L52" s="31" t="inlineStr"/>
      <c r="M52" s="31" t="inlineStr"/>
      <c r="N52" s="31" t="inlineStr"/>
      <c r="O52" s="31" t="inlineStr"/>
      <c r="P52" s="31" t="inlineStr"/>
      <c r="Q52" s="31" t="inlineStr"/>
      <c r="R52" s="31" t="inlineStr"/>
    </row>
    <row r="53" ht="22" customHeight="1">
      <c r="A53" s="17" t="inlineStr">
        <is>
          <t>▸ Total SORTIES — VALORCIA</t>
        </is>
      </c>
      <c r="G53" s="18">
        <f>SUMIF($A$33:$A$52,"Valorcia",G33:G52)</f>
        <v/>
      </c>
      <c r="H53" s="18">
        <f>SUMIF($A$33:$A$52,"Valorcia",H33:H52)</f>
        <v/>
      </c>
      <c r="I53" s="18">
        <f>SUMIF($A$33:$A$52,"Valorcia",I33:I52)</f>
        <v/>
      </c>
      <c r="J53" s="18">
        <f>SUMIF($A$33:$A$52,"Valorcia",J33:J52)</f>
        <v/>
      </c>
      <c r="K53" s="18">
        <f>SUMIF($A$33:$A$52,"Valorcia",K33:K52)</f>
        <v/>
      </c>
      <c r="L53" s="18">
        <f>SUMIF($A$33:$A$52,"Valorcia",L33:L52)</f>
        <v/>
      </c>
      <c r="M53" s="18">
        <f>SUMIF($A$33:$A$52,"Valorcia",M33:M52)</f>
        <v/>
      </c>
      <c r="N53" s="18">
        <f>SUMIF($A$33:$A$52,"Valorcia",N33:N52)</f>
        <v/>
      </c>
      <c r="O53" s="18">
        <f>SUMIF($A$33:$A$52,"Valorcia",O33:O52)</f>
        <v/>
      </c>
      <c r="P53" s="18">
        <f>SUMIF($A$33:$A$52,"Valorcia",P33:P52)</f>
        <v/>
      </c>
      <c r="Q53" s="18">
        <f>SUMIF($A$33:$A$52,"Valorcia",Q33:Q52)</f>
        <v/>
      </c>
      <c r="R53" s="18">
        <f>SUMIF($A$33:$A$52,"Valorcia",R33:R52)</f>
        <v/>
      </c>
    </row>
    <row r="54" ht="22" customHeight="1">
      <c r="A54" s="19" t="inlineStr">
        <is>
          <t>▸ Total SORTIES — LUCA CRÉATIONS</t>
        </is>
      </c>
      <c r="G54" s="20">
        <f>SUMIF($A$33:$A$52,"Luca Créations",G33:G52)</f>
        <v/>
      </c>
      <c r="H54" s="20">
        <f>SUMIF($A$33:$A$52,"Luca Créations",H33:H52)</f>
        <v/>
      </c>
      <c r="I54" s="20">
        <f>SUMIF($A$33:$A$52,"Luca Créations",I33:I52)</f>
        <v/>
      </c>
      <c r="J54" s="20">
        <f>SUMIF($A$33:$A$52,"Luca Créations",J33:J52)</f>
        <v/>
      </c>
      <c r="K54" s="20">
        <f>SUMIF($A$33:$A$52,"Luca Créations",K33:K52)</f>
        <v/>
      </c>
      <c r="L54" s="20">
        <f>SUMIF($A$33:$A$52,"Luca Créations",L33:L52)</f>
        <v/>
      </c>
      <c r="M54" s="20">
        <f>SUMIF($A$33:$A$52,"Luca Créations",M33:M52)</f>
        <v/>
      </c>
      <c r="N54" s="20">
        <f>SUMIF($A$33:$A$52,"Luca Créations",N33:N52)</f>
        <v/>
      </c>
      <c r="O54" s="20">
        <f>SUMIF($A$33:$A$52,"Luca Créations",O33:O52)</f>
        <v/>
      </c>
      <c r="P54" s="20">
        <f>SUMIF($A$33:$A$52,"Luca Créations",P33:P52)</f>
        <v/>
      </c>
      <c r="Q54" s="20">
        <f>SUMIF($A$33:$A$52,"Luca Créations",Q33:Q52)</f>
        <v/>
      </c>
      <c r="R54" s="20">
        <f>SUMIF($A$33:$A$52,"Luca Créations",R33:R52)</f>
        <v/>
      </c>
    </row>
    <row r="55" ht="22" customHeight="1">
      <c r="A55" s="21" t="inlineStr">
        <is>
          <t>▸ Total SORTIES — 123 SPA</t>
        </is>
      </c>
      <c r="G55" s="22">
        <f>SUMIF($A$33:$A$52,"123 SPA",G33:G52)</f>
        <v/>
      </c>
      <c r="H55" s="22">
        <f>SUMIF($A$33:$A$52,"123 SPA",H33:H52)</f>
        <v/>
      </c>
      <c r="I55" s="22">
        <f>SUMIF($A$33:$A$52,"123 SPA",I33:I52)</f>
        <v/>
      </c>
      <c r="J55" s="22">
        <f>SUMIF($A$33:$A$52,"123 SPA",J33:J52)</f>
        <v/>
      </c>
      <c r="K55" s="22">
        <f>SUMIF($A$33:$A$52,"123 SPA",K33:K52)</f>
        <v/>
      </c>
      <c r="L55" s="22">
        <f>SUMIF($A$33:$A$52,"123 SPA",L33:L52)</f>
        <v/>
      </c>
      <c r="M55" s="22">
        <f>SUMIF($A$33:$A$52,"123 SPA",M33:M52)</f>
        <v/>
      </c>
      <c r="N55" s="22">
        <f>SUMIF($A$33:$A$52,"123 SPA",N33:N52)</f>
        <v/>
      </c>
      <c r="O55" s="22">
        <f>SUMIF($A$33:$A$52,"123 SPA",O33:O52)</f>
        <v/>
      </c>
      <c r="P55" s="22">
        <f>SUMIF($A$33:$A$52,"123 SPA",P33:P52)</f>
        <v/>
      </c>
      <c r="Q55" s="22">
        <f>SUMIF($A$33:$A$52,"123 SPA",Q33:Q52)</f>
        <v/>
      </c>
      <c r="R55" s="22">
        <f>SUMIF($A$33:$A$52,"123 SPA",R33:R52)</f>
        <v/>
      </c>
    </row>
    <row r="56" ht="26" customHeight="1">
      <c r="A56" s="32" t="inlineStr">
        <is>
          <t>🌍 TOTAL SORTIES CONSOLIDÉ</t>
        </is>
      </c>
      <c r="G56" s="33">
        <f>SUM(G33:G52)</f>
        <v/>
      </c>
      <c r="H56" s="33">
        <f>SUM(H33:H52)</f>
        <v/>
      </c>
      <c r="I56" s="33">
        <f>SUM(I33:I52)</f>
        <v/>
      </c>
      <c r="J56" s="33">
        <f>SUM(J33:J52)</f>
        <v/>
      </c>
      <c r="K56" s="33">
        <f>SUM(K33:K52)</f>
        <v/>
      </c>
      <c r="L56" s="33">
        <f>SUM(L33:L52)</f>
        <v/>
      </c>
      <c r="M56" s="33">
        <f>SUM(M33:M52)</f>
        <v/>
      </c>
      <c r="N56" s="33">
        <f>SUM(N33:N52)</f>
        <v/>
      </c>
      <c r="O56" s="33">
        <f>SUM(O33:O52)</f>
        <v/>
      </c>
      <c r="P56" s="33">
        <f>SUM(P33:P52)</f>
        <v/>
      </c>
      <c r="Q56" s="33">
        <f>SUM(Q33:Q52)</f>
        <v/>
      </c>
      <c r="R56" s="33">
        <f>SUM(R33:R52)</f>
        <v/>
      </c>
    </row>
    <row r="58" ht="32" customHeight="1">
      <c r="A58" s="34" t="inlineStr">
        <is>
          <t>📊  SYNTHÈSE  —  Solde net = ENTRÉES − SORTIES</t>
        </is>
      </c>
    </row>
    <row r="59" ht="24" customHeight="1">
      <c r="A59" s="17">
        <f> Solde net — VALORCIA</f>
        <v/>
      </c>
      <c r="G59" s="35">
        <f>G26-G53</f>
        <v/>
      </c>
      <c r="H59" s="35">
        <f>H26-H53</f>
        <v/>
      </c>
      <c r="I59" s="35">
        <f>I26-I53</f>
        <v/>
      </c>
      <c r="J59" s="35">
        <f>J26-J53</f>
        <v/>
      </c>
      <c r="K59" s="35">
        <f>K26-K53</f>
        <v/>
      </c>
      <c r="L59" s="35">
        <f>L26-L53</f>
        <v/>
      </c>
      <c r="M59" s="35">
        <f>M26-M53</f>
        <v/>
      </c>
      <c r="N59" s="35">
        <f>N26-N53</f>
        <v/>
      </c>
      <c r="O59" s="35">
        <f>O26-O53</f>
        <v/>
      </c>
      <c r="P59" s="35">
        <f>P26-P53</f>
        <v/>
      </c>
      <c r="Q59" s="35">
        <f>Q26-Q53</f>
        <v/>
      </c>
      <c r="R59" s="35">
        <f>R26-R53</f>
        <v/>
      </c>
    </row>
    <row r="60" ht="24" customHeight="1">
      <c r="A60" s="19">
        <f> Solde net — LUCA CRÉATIONS</f>
        <v/>
      </c>
      <c r="G60" s="36">
        <f>G27-G54</f>
        <v/>
      </c>
      <c r="H60" s="36">
        <f>H27-H54</f>
        <v/>
      </c>
      <c r="I60" s="36">
        <f>I27-I54</f>
        <v/>
      </c>
      <c r="J60" s="36">
        <f>J27-J54</f>
        <v/>
      </c>
      <c r="K60" s="36">
        <f>K27-K54</f>
        <v/>
      </c>
      <c r="L60" s="36">
        <f>L27-L54</f>
        <v/>
      </c>
      <c r="M60" s="36">
        <f>M27-M54</f>
        <v/>
      </c>
      <c r="N60" s="36">
        <f>N27-N54</f>
        <v/>
      </c>
      <c r="O60" s="36">
        <f>O27-O54</f>
        <v/>
      </c>
      <c r="P60" s="36">
        <f>P27-P54</f>
        <v/>
      </c>
      <c r="Q60" s="36">
        <f>Q27-Q54</f>
        <v/>
      </c>
      <c r="R60" s="36">
        <f>R27-R54</f>
        <v/>
      </c>
    </row>
    <row r="61" ht="24" customHeight="1">
      <c r="A61" s="21">
        <f> Solde net — 123 SPA</f>
        <v/>
      </c>
      <c r="G61" s="37">
        <f>G28-G55</f>
        <v/>
      </c>
      <c r="H61" s="37">
        <f>H28-H55</f>
        <v/>
      </c>
      <c r="I61" s="37">
        <f>I28-I55</f>
        <v/>
      </c>
      <c r="J61" s="37">
        <f>J28-J55</f>
        <v/>
      </c>
      <c r="K61" s="37">
        <f>K28-K55</f>
        <v/>
      </c>
      <c r="L61" s="37">
        <f>L28-L55</f>
        <v/>
      </c>
      <c r="M61" s="37">
        <f>M28-M55</f>
        <v/>
      </c>
      <c r="N61" s="37">
        <f>N28-N55</f>
        <v/>
      </c>
      <c r="O61" s="37">
        <f>O28-O55</f>
        <v/>
      </c>
      <c r="P61" s="37">
        <f>P28-P55</f>
        <v/>
      </c>
      <c r="Q61" s="37">
        <f>Q28-Q55</f>
        <v/>
      </c>
      <c r="R61" s="37">
        <f>R28-R55</f>
        <v/>
      </c>
    </row>
    <row r="62" ht="28" customHeight="1">
      <c r="A62" s="38" t="inlineStr">
        <is>
          <t>🌍 SOLDE NET CONSOLIDÉ (toutes sociétés)</t>
        </is>
      </c>
      <c r="G62" s="39">
        <f>G29-G56</f>
        <v/>
      </c>
      <c r="H62" s="39">
        <f>H29-H56</f>
        <v/>
      </c>
      <c r="I62" s="39">
        <f>I29-I56</f>
        <v/>
      </c>
      <c r="J62" s="39">
        <f>J29-J56</f>
        <v/>
      </c>
      <c r="K62" s="39">
        <f>K29-K56</f>
        <v/>
      </c>
      <c r="L62" s="39">
        <f>L29-L56</f>
        <v/>
      </c>
      <c r="M62" s="39">
        <f>M29-M56</f>
        <v/>
      </c>
      <c r="N62" s="39">
        <f>N29-N56</f>
        <v/>
      </c>
      <c r="O62" s="39">
        <f>O29-O56</f>
        <v/>
      </c>
      <c r="P62" s="39">
        <f>P29-P56</f>
        <v/>
      </c>
      <c r="Q62" s="39">
        <f>Q29-Q56</f>
        <v/>
      </c>
      <c r="R62" s="39">
        <f>R29-R56</f>
        <v/>
      </c>
    </row>
    <row r="63" ht="30" customHeight="1">
      <c r="A63" s="40" t="inlineStr">
        <is>
          <t>💰 SOLDE CUMULÉ CONSOLIDÉ</t>
        </is>
      </c>
      <c r="G63" s="41">
        <f>G62</f>
        <v/>
      </c>
      <c r="H63" s="41">
        <f>G63+H62</f>
        <v/>
      </c>
      <c r="I63" s="41">
        <f>H63+I62</f>
        <v/>
      </c>
      <c r="J63" s="41">
        <f>I63+J62</f>
        <v/>
      </c>
      <c r="K63" s="41">
        <f>J63+K62</f>
        <v/>
      </c>
      <c r="L63" s="41">
        <f>K63+L62</f>
        <v/>
      </c>
      <c r="M63" s="41">
        <f>L63+M62</f>
        <v/>
      </c>
      <c r="N63" s="41">
        <f>M63+N62</f>
        <v/>
      </c>
      <c r="O63" s="41">
        <f>N63+O62</f>
        <v/>
      </c>
      <c r="P63" s="41">
        <f>O63+P62</f>
        <v/>
      </c>
      <c r="Q63" s="41">
        <f>P63+Q62</f>
        <v/>
      </c>
      <c r="R63" s="41">
        <f>Q63+R62</f>
        <v/>
      </c>
    </row>
  </sheetData>
  <mergeCells count="20">
    <mergeCell ref="A54:F54"/>
    <mergeCell ref="I2:J2"/>
    <mergeCell ref="A27:F27"/>
    <mergeCell ref="A56:F56"/>
    <mergeCell ref="A26:F26"/>
    <mergeCell ref="A55:F55"/>
    <mergeCell ref="A62:F62"/>
    <mergeCell ref="A53:F53"/>
    <mergeCell ref="A29:F29"/>
    <mergeCell ref="A4:R4"/>
    <mergeCell ref="F2:G2"/>
    <mergeCell ref="A63:F63"/>
    <mergeCell ref="A28:F28"/>
    <mergeCell ref="C2:D2"/>
    <mergeCell ref="A31:R31"/>
    <mergeCell ref="A58:R58"/>
    <mergeCell ref="A59:F59"/>
    <mergeCell ref="A60:F60"/>
    <mergeCell ref="A61:F61"/>
    <mergeCell ref="A1:R1"/>
  </mergeCells>
  <conditionalFormatting sqref="F6:F25">
    <cfRule type="expression" priority="1" dxfId="0">
      <formula>$F6="Payé"</formula>
    </cfRule>
    <cfRule type="expression" priority="2" dxfId="1">
      <formula>$F6="Prévu"</formula>
    </cfRule>
    <cfRule type="expression" priority="3" dxfId="2">
      <formula>$F6="En retard"</formula>
    </cfRule>
    <cfRule type="expression" priority="4" dxfId="3">
      <formula>$F6="Impayé"</formula>
    </cfRule>
    <cfRule type="expression" priority="5" dxfId="4">
      <formula>$F6="Annulé"</formula>
    </cfRule>
  </conditionalFormatting>
  <conditionalFormatting sqref="F33:F52">
    <cfRule type="expression" priority="6" dxfId="0">
      <formula>$F33="Payé"</formula>
    </cfRule>
    <cfRule type="expression" priority="7" dxfId="1">
      <formula>$F33="Prévu"</formula>
    </cfRule>
    <cfRule type="expression" priority="8" dxfId="2">
      <formula>$F33="En retard"</formula>
    </cfRule>
    <cfRule type="expression" priority="9" dxfId="3">
      <formula>$F33="Impayé"</formula>
    </cfRule>
    <cfRule type="expression" priority="10" dxfId="4">
      <formula>$F33="Annulé"</formula>
    </cfRule>
  </conditionalFormatting>
  <conditionalFormatting sqref="G63">
    <cfRule type="cellIs" priority="11" operator="lessThan" dxfId="5">
      <formula>0</formula>
    </cfRule>
  </conditionalFormatting>
  <conditionalFormatting sqref="H63">
    <cfRule type="cellIs" priority="12" operator="lessThan" dxfId="5">
      <formula>0</formula>
    </cfRule>
  </conditionalFormatting>
  <conditionalFormatting sqref="I63">
    <cfRule type="cellIs" priority="13" operator="lessThan" dxfId="5">
      <formula>0</formula>
    </cfRule>
  </conditionalFormatting>
  <conditionalFormatting sqref="J63">
    <cfRule type="cellIs" priority="14" operator="lessThan" dxfId="5">
      <formula>0</formula>
    </cfRule>
  </conditionalFormatting>
  <conditionalFormatting sqref="K63">
    <cfRule type="cellIs" priority="15" operator="lessThan" dxfId="5">
      <formula>0</formula>
    </cfRule>
  </conditionalFormatting>
  <conditionalFormatting sqref="L63">
    <cfRule type="cellIs" priority="16" operator="lessThan" dxfId="5">
      <formula>0</formula>
    </cfRule>
  </conditionalFormatting>
  <conditionalFormatting sqref="M63">
    <cfRule type="cellIs" priority="17" operator="lessThan" dxfId="5">
      <formula>0</formula>
    </cfRule>
  </conditionalFormatting>
  <conditionalFormatting sqref="N63">
    <cfRule type="cellIs" priority="18" operator="lessThan" dxfId="5">
      <formula>0</formula>
    </cfRule>
  </conditionalFormatting>
  <conditionalFormatting sqref="O63">
    <cfRule type="cellIs" priority="19" operator="lessThan" dxfId="5">
      <formula>0</formula>
    </cfRule>
  </conditionalFormatting>
  <conditionalFormatting sqref="P63">
    <cfRule type="cellIs" priority="20" operator="lessThan" dxfId="5">
      <formula>0</formula>
    </cfRule>
  </conditionalFormatting>
  <conditionalFormatting sqref="Q63">
    <cfRule type="cellIs" priority="21" operator="lessThan" dxfId="5">
      <formula>0</formula>
    </cfRule>
  </conditionalFormatting>
  <conditionalFormatting sqref="R63">
    <cfRule type="cellIs" priority="22" operator="lessThan" dxfId="5">
      <formula>0</formula>
    </cfRule>
  </conditionalFormatting>
  <dataValidations count="2">
    <dataValidation sqref="A6:A25 A33:A52" showDropDown="0" showInputMessage="0" showErrorMessage="1" allowBlank="1" promptTitle="Société" prompt="Sélectionner la société" type="list">
      <formula1>"Valorcia,Luca Créations,123 SPA"</formula1>
    </dataValidation>
    <dataValidation sqref="F6:F25 F33:F52" showDropDown="0" showInputMessage="0" showErrorMessage="1" allowBlank="1" promptTitle="Statut du paiement" prompt="Prévu / Payé / Impayé / En retard / Annulé" type="list">
      <formula1>"Prévu,Payé,Impayé,En retard,Annulé"</formula1>
    </dataValidation>
  </dataValidations>
  <pageMargins left="0.75" right="0.75" top="1" bottom="1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4" customWidth="1" min="4" max="4"/>
    <col width="15" customWidth="1" min="5" max="5"/>
    <col width="15" customWidth="1" min="6" max="6"/>
    <col width="13" customWidth="1" min="7" max="7"/>
    <col width="18" customWidth="1" min="8" max="8"/>
    <col width="30" customWidth="1" min="9" max="9"/>
  </cols>
  <sheetData>
    <row r="1" ht="30" customHeight="1">
      <c r="A1" s="42" t="inlineStr">
        <is>
          <t>🚨  SUIVI DES IMPAYÉS &amp; RETARDS  —  MULTI-SOCIÉTÉS  🚨</t>
        </is>
      </c>
    </row>
    <row r="2" ht="6" customHeight="1"/>
    <row r="3" ht="34" customHeight="1">
      <c r="A3" s="43" t="inlineStr">
        <is>
          <t>Société</t>
        </is>
      </c>
      <c r="B3" s="43" t="inlineStr">
        <is>
          <t>Nom client</t>
        </is>
      </c>
      <c r="C3" s="43" t="inlineStr">
        <is>
          <t>Projet</t>
        </is>
      </c>
      <c r="D3" s="43" t="inlineStr">
        <is>
          <t>Montant HT (€)</t>
        </is>
      </c>
      <c r="E3" s="43" t="inlineStr">
        <is>
          <t>Échéance initiale</t>
        </is>
      </c>
      <c r="F3" s="43" t="inlineStr">
        <is>
          <t>Jours de retard</t>
        </is>
      </c>
      <c r="G3" s="43" t="inlineStr">
        <is>
          <t>Statut</t>
        </is>
      </c>
      <c r="H3" s="43" t="inlineStr">
        <is>
          <t>Date dernière relance</t>
        </is>
      </c>
      <c r="I3" s="43" t="inlineStr">
        <is>
          <t>Actions à mener</t>
        </is>
      </c>
    </row>
    <row r="4" ht="24" customHeight="1">
      <c r="A4" s="15" t="inlineStr">
        <is>
          <t>Luca Créations</t>
        </is>
      </c>
      <c r="B4" s="44" t="inlineStr">
        <is>
          <t>Client Durand</t>
        </is>
      </c>
      <c r="C4" s="44" t="inlineStr">
        <is>
          <t>Solde facture #2026-084</t>
        </is>
      </c>
      <c r="D4" s="45" t="n">
        <v>2300</v>
      </c>
      <c r="E4" s="46" t="n">
        <v>46366</v>
      </c>
      <c r="F4" s="13">
        <f>IF(E4="","",TODAY()-E4)</f>
        <v/>
      </c>
      <c r="G4" s="13" t="inlineStr">
        <is>
          <t>En retard</t>
        </is>
      </c>
      <c r="H4" s="46" t="inlineStr"/>
      <c r="I4" s="47" t="inlineStr">
        <is>
          <t>1ère relance à envoyer</t>
        </is>
      </c>
    </row>
    <row r="5" ht="24" customHeight="1">
      <c r="A5" s="16" t="inlineStr">
        <is>
          <t>123 SPA</t>
        </is>
      </c>
      <c r="B5" s="44" t="inlineStr">
        <is>
          <t>Client Leroy</t>
        </is>
      </c>
      <c r="C5" s="44" t="inlineStr">
        <is>
          <t>Acompte installation spa</t>
        </is>
      </c>
      <c r="D5" s="45" t="n">
        <v>1500</v>
      </c>
      <c r="E5" s="46" t="n">
        <v>46384</v>
      </c>
      <c r="F5" s="13">
        <f>IF(E5="","",TODAY()-E5)</f>
        <v/>
      </c>
      <c r="G5" s="13" t="inlineStr">
        <is>
          <t>Impayé</t>
        </is>
      </c>
      <c r="H5" s="46" t="inlineStr"/>
      <c r="I5" s="47" t="inlineStr">
        <is>
          <t>Mise en demeure à préparer</t>
        </is>
      </c>
    </row>
    <row r="6" ht="22" customHeight="1">
      <c r="A6" s="44" t="inlineStr"/>
      <c r="B6" s="44" t="inlineStr"/>
      <c r="C6" s="44" t="inlineStr"/>
      <c r="D6" s="48" t="inlineStr"/>
      <c r="E6" s="49" t="inlineStr"/>
      <c r="F6" s="13">
        <f>IF(E6="","",TODAY()-E6)</f>
        <v/>
      </c>
      <c r="G6" s="44" t="inlineStr"/>
      <c r="H6" s="49" t="inlineStr"/>
      <c r="I6" s="44" t="inlineStr"/>
    </row>
    <row r="7" ht="22" customHeight="1">
      <c r="A7" s="44" t="inlineStr"/>
      <c r="B7" s="44" t="inlineStr"/>
      <c r="C7" s="44" t="inlineStr"/>
      <c r="D7" s="48" t="inlineStr"/>
      <c r="E7" s="49" t="inlineStr"/>
      <c r="F7" s="13">
        <f>IF(E7="","",TODAY()-E7)</f>
        <v/>
      </c>
      <c r="G7" s="44" t="inlineStr"/>
      <c r="H7" s="49" t="inlineStr"/>
      <c r="I7" s="44" t="inlineStr"/>
    </row>
    <row r="8" ht="22" customHeight="1">
      <c r="A8" s="44" t="inlineStr"/>
      <c r="B8" s="44" t="inlineStr"/>
      <c r="C8" s="44" t="inlineStr"/>
      <c r="D8" s="48" t="inlineStr"/>
      <c r="E8" s="49" t="inlineStr"/>
      <c r="F8" s="13">
        <f>IF(E8="","",TODAY()-E8)</f>
        <v/>
      </c>
      <c r="G8" s="44" t="inlineStr"/>
      <c r="H8" s="49" t="inlineStr"/>
      <c r="I8" s="44" t="inlineStr"/>
    </row>
    <row r="9" ht="22" customHeight="1">
      <c r="A9" s="44" t="inlineStr"/>
      <c r="B9" s="44" t="inlineStr"/>
      <c r="C9" s="44" t="inlineStr"/>
      <c r="D9" s="48" t="inlineStr"/>
      <c r="E9" s="49" t="inlineStr"/>
      <c r="F9" s="13">
        <f>IF(E9="","",TODAY()-E9)</f>
        <v/>
      </c>
      <c r="G9" s="44" t="inlineStr"/>
      <c r="H9" s="49" t="inlineStr"/>
      <c r="I9" s="44" t="inlineStr"/>
    </row>
    <row r="10" ht="22" customHeight="1">
      <c r="A10" s="44" t="inlineStr"/>
      <c r="B10" s="44" t="inlineStr"/>
      <c r="C10" s="44" t="inlineStr"/>
      <c r="D10" s="48" t="inlineStr"/>
      <c r="E10" s="49" t="inlineStr"/>
      <c r="F10" s="13">
        <f>IF(E10="","",TODAY()-E10)</f>
        <v/>
      </c>
      <c r="G10" s="44" t="inlineStr"/>
      <c r="H10" s="49" t="inlineStr"/>
      <c r="I10" s="44" t="inlineStr"/>
    </row>
    <row r="11" ht="22" customHeight="1">
      <c r="A11" s="44" t="inlineStr"/>
      <c r="B11" s="44" t="inlineStr"/>
      <c r="C11" s="44" t="inlineStr"/>
      <c r="D11" s="48" t="inlineStr"/>
      <c r="E11" s="49" t="inlineStr"/>
      <c r="F11" s="13">
        <f>IF(E11="","",TODAY()-E11)</f>
        <v/>
      </c>
      <c r="G11" s="44" t="inlineStr"/>
      <c r="H11" s="49" t="inlineStr"/>
      <c r="I11" s="44" t="inlineStr"/>
    </row>
    <row r="12" ht="22" customHeight="1">
      <c r="A12" s="44" t="inlineStr"/>
      <c r="B12" s="44" t="inlineStr"/>
      <c r="C12" s="44" t="inlineStr"/>
      <c r="D12" s="48" t="inlineStr"/>
      <c r="E12" s="49" t="inlineStr"/>
      <c r="F12" s="13">
        <f>IF(E12="","",TODAY()-E12)</f>
        <v/>
      </c>
      <c r="G12" s="44" t="inlineStr"/>
      <c r="H12" s="49" t="inlineStr"/>
      <c r="I12" s="44" t="inlineStr"/>
    </row>
    <row r="13" ht="22" customHeight="1">
      <c r="A13" s="44" t="inlineStr"/>
      <c r="B13" s="44" t="inlineStr"/>
      <c r="C13" s="44" t="inlineStr"/>
      <c r="D13" s="48" t="inlineStr"/>
      <c r="E13" s="49" t="inlineStr"/>
      <c r="F13" s="13">
        <f>IF(E13="","",TODAY()-E13)</f>
        <v/>
      </c>
      <c r="G13" s="44" t="inlineStr"/>
      <c r="H13" s="49" t="inlineStr"/>
      <c r="I13" s="44" t="inlineStr"/>
    </row>
    <row r="14" ht="22" customHeight="1">
      <c r="A14" s="44" t="inlineStr"/>
      <c r="B14" s="44" t="inlineStr"/>
      <c r="C14" s="44" t="inlineStr"/>
      <c r="D14" s="48" t="inlineStr"/>
      <c r="E14" s="49" t="inlineStr"/>
      <c r="F14" s="13">
        <f>IF(E14="","",TODAY()-E14)</f>
        <v/>
      </c>
      <c r="G14" s="44" t="inlineStr"/>
      <c r="H14" s="49" t="inlineStr"/>
      <c r="I14" s="44" t="inlineStr"/>
    </row>
    <row r="15" ht="22" customHeight="1">
      <c r="A15" s="44" t="inlineStr"/>
      <c r="B15" s="44" t="inlineStr"/>
      <c r="C15" s="44" t="inlineStr"/>
      <c r="D15" s="48" t="inlineStr"/>
      <c r="E15" s="49" t="inlineStr"/>
      <c r="F15" s="13">
        <f>IF(E15="","",TODAY()-E15)</f>
        <v/>
      </c>
      <c r="G15" s="44" t="inlineStr"/>
      <c r="H15" s="49" t="inlineStr"/>
      <c r="I15" s="44" t="inlineStr"/>
    </row>
    <row r="16" ht="22" customHeight="1">
      <c r="A16" s="44" t="inlineStr"/>
      <c r="B16" s="44" t="inlineStr"/>
      <c r="C16" s="44" t="inlineStr"/>
      <c r="D16" s="48" t="inlineStr"/>
      <c r="E16" s="49" t="inlineStr"/>
      <c r="F16" s="13">
        <f>IF(E16="","",TODAY()-E16)</f>
        <v/>
      </c>
      <c r="G16" s="44" t="inlineStr"/>
      <c r="H16" s="49" t="inlineStr"/>
      <c r="I16" s="44" t="inlineStr"/>
    </row>
    <row r="17" ht="22" customHeight="1">
      <c r="A17" s="44" t="inlineStr"/>
      <c r="B17" s="44" t="inlineStr"/>
      <c r="C17" s="44" t="inlineStr"/>
      <c r="D17" s="48" t="inlineStr"/>
      <c r="E17" s="49" t="inlineStr"/>
      <c r="F17" s="13">
        <f>IF(E17="","",TODAY()-E17)</f>
        <v/>
      </c>
      <c r="G17" s="44" t="inlineStr"/>
      <c r="H17" s="49" t="inlineStr"/>
      <c r="I17" s="44" t="inlineStr"/>
    </row>
    <row r="18" ht="22" customHeight="1">
      <c r="A18" s="44" t="inlineStr"/>
      <c r="B18" s="44" t="inlineStr"/>
      <c r="C18" s="44" t="inlineStr"/>
      <c r="D18" s="48" t="inlineStr"/>
      <c r="E18" s="49" t="inlineStr"/>
      <c r="F18" s="13">
        <f>IF(E18="","",TODAY()-E18)</f>
        <v/>
      </c>
      <c r="G18" s="44" t="inlineStr"/>
      <c r="H18" s="49" t="inlineStr"/>
      <c r="I18" s="44" t="inlineStr"/>
    </row>
    <row r="19" ht="22" customHeight="1">
      <c r="A19" s="44" t="inlineStr"/>
      <c r="B19" s="44" t="inlineStr"/>
      <c r="C19" s="44" t="inlineStr"/>
      <c r="D19" s="48" t="inlineStr"/>
      <c r="E19" s="49" t="inlineStr"/>
      <c r="F19" s="13">
        <f>IF(E19="","",TODAY()-E19)</f>
        <v/>
      </c>
      <c r="G19" s="44" t="inlineStr"/>
      <c r="H19" s="49" t="inlineStr"/>
      <c r="I19" s="44" t="inlineStr"/>
    </row>
    <row r="20" ht="22" customHeight="1">
      <c r="A20" s="44" t="inlineStr"/>
      <c r="B20" s="44" t="inlineStr"/>
      <c r="C20" s="44" t="inlineStr"/>
      <c r="D20" s="48" t="inlineStr"/>
      <c r="E20" s="49" t="inlineStr"/>
      <c r="F20" s="13">
        <f>IF(E20="","",TODAY()-E20)</f>
        <v/>
      </c>
      <c r="G20" s="44" t="inlineStr"/>
      <c r="H20" s="49" t="inlineStr"/>
      <c r="I20" s="44" t="inlineStr"/>
    </row>
    <row r="21" ht="22" customHeight="1">
      <c r="A21" s="44" t="inlineStr"/>
      <c r="B21" s="44" t="inlineStr"/>
      <c r="C21" s="44" t="inlineStr"/>
      <c r="D21" s="48" t="inlineStr"/>
      <c r="E21" s="49" t="inlineStr"/>
      <c r="F21" s="13">
        <f>IF(E21="","",TODAY()-E21)</f>
        <v/>
      </c>
      <c r="G21" s="44" t="inlineStr"/>
      <c r="H21" s="49" t="inlineStr"/>
      <c r="I21" s="44" t="inlineStr"/>
    </row>
    <row r="22" ht="22" customHeight="1">
      <c r="A22" s="44" t="inlineStr"/>
      <c r="B22" s="44" t="inlineStr"/>
      <c r="C22" s="44" t="inlineStr"/>
      <c r="D22" s="48" t="inlineStr"/>
      <c r="E22" s="49" t="inlineStr"/>
      <c r="F22" s="13">
        <f>IF(E22="","",TODAY()-E22)</f>
        <v/>
      </c>
      <c r="G22" s="44" t="inlineStr"/>
      <c r="H22" s="49" t="inlineStr"/>
      <c r="I22" s="44" t="inlineStr"/>
    </row>
    <row r="23" ht="22" customHeight="1">
      <c r="A23" s="44" t="inlineStr"/>
      <c r="B23" s="44" t="inlineStr"/>
      <c r="C23" s="44" t="inlineStr"/>
      <c r="D23" s="48" t="inlineStr"/>
      <c r="E23" s="49" t="inlineStr"/>
      <c r="F23" s="13">
        <f>IF(E23="","",TODAY()-E23)</f>
        <v/>
      </c>
      <c r="G23" s="44" t="inlineStr"/>
      <c r="H23" s="49" t="inlineStr"/>
      <c r="I23" s="44" t="inlineStr"/>
    </row>
    <row r="24" ht="22" customHeight="1">
      <c r="A24" s="44" t="inlineStr"/>
      <c r="B24" s="44" t="inlineStr"/>
      <c r="C24" s="44" t="inlineStr"/>
      <c r="D24" s="48" t="inlineStr"/>
      <c r="E24" s="49" t="inlineStr"/>
      <c r="F24" s="13">
        <f>IF(E24="","",TODAY()-E24)</f>
        <v/>
      </c>
      <c r="G24" s="44" t="inlineStr"/>
      <c r="H24" s="49" t="inlineStr"/>
      <c r="I24" s="44" t="inlineStr"/>
    </row>
    <row r="25" ht="22" customHeight="1">
      <c r="A25" s="44" t="inlineStr"/>
      <c r="B25" s="44" t="inlineStr"/>
      <c r="C25" s="44" t="inlineStr"/>
      <c r="D25" s="48" t="inlineStr"/>
      <c r="E25" s="49" t="inlineStr"/>
      <c r="F25" s="13">
        <f>IF(E25="","",TODAY()-E25)</f>
        <v/>
      </c>
      <c r="G25" s="44" t="inlineStr"/>
      <c r="H25" s="49" t="inlineStr"/>
      <c r="I25" s="44" t="inlineStr"/>
    </row>
    <row r="26" ht="22" customHeight="1">
      <c r="A26" s="44" t="inlineStr"/>
      <c r="B26" s="44" t="inlineStr"/>
      <c r="C26" s="44" t="inlineStr"/>
      <c r="D26" s="48" t="inlineStr"/>
      <c r="E26" s="49" t="inlineStr"/>
      <c r="F26" s="13">
        <f>IF(E26="","",TODAY()-E26)</f>
        <v/>
      </c>
      <c r="G26" s="44" t="inlineStr"/>
      <c r="H26" s="49" t="inlineStr"/>
      <c r="I26" s="44" t="inlineStr"/>
    </row>
    <row r="27" ht="22" customHeight="1">
      <c r="A27" s="44" t="inlineStr"/>
      <c r="B27" s="44" t="inlineStr"/>
      <c r="C27" s="44" t="inlineStr"/>
      <c r="D27" s="48" t="inlineStr"/>
      <c r="E27" s="49" t="inlineStr"/>
      <c r="F27" s="13">
        <f>IF(E27="","",TODAY()-E27)</f>
        <v/>
      </c>
      <c r="G27" s="44" t="inlineStr"/>
      <c r="H27" s="49" t="inlineStr"/>
      <c r="I27" s="44" t="inlineStr"/>
    </row>
    <row r="28" ht="22" customHeight="1">
      <c r="A28" s="44" t="inlineStr"/>
      <c r="B28" s="44" t="inlineStr"/>
      <c r="C28" s="44" t="inlineStr"/>
      <c r="D28" s="48" t="inlineStr"/>
      <c r="E28" s="49" t="inlineStr"/>
      <c r="F28" s="13">
        <f>IF(E28="","",TODAY()-E28)</f>
        <v/>
      </c>
      <c r="G28" s="44" t="inlineStr"/>
      <c r="H28" s="49" t="inlineStr"/>
      <c r="I28" s="44" t="inlineStr"/>
    </row>
    <row r="29" ht="22" customHeight="1">
      <c r="A29" s="44" t="inlineStr"/>
      <c r="B29" s="44" t="inlineStr"/>
      <c r="C29" s="44" t="inlineStr"/>
      <c r="D29" s="48" t="inlineStr"/>
      <c r="E29" s="49" t="inlineStr"/>
      <c r="F29" s="13">
        <f>IF(E29="","",TODAY()-E29)</f>
        <v/>
      </c>
      <c r="G29" s="44" t="inlineStr"/>
      <c r="H29" s="49" t="inlineStr"/>
      <c r="I29" s="44" t="inlineStr"/>
    </row>
    <row r="30" ht="22" customHeight="1">
      <c r="A30" s="44" t="inlineStr"/>
      <c r="B30" s="44" t="inlineStr"/>
      <c r="C30" s="44" t="inlineStr"/>
      <c r="D30" s="48" t="inlineStr"/>
      <c r="E30" s="49" t="inlineStr"/>
      <c r="F30" s="13">
        <f>IF(E30="","",TODAY()-E30)</f>
        <v/>
      </c>
      <c r="G30" s="44" t="inlineStr"/>
      <c r="H30" s="49" t="inlineStr"/>
      <c r="I30" s="44" t="inlineStr"/>
    </row>
    <row r="31" ht="22" customHeight="1">
      <c r="A31" s="44" t="inlineStr"/>
      <c r="B31" s="44" t="inlineStr"/>
      <c r="C31" s="44" t="inlineStr"/>
      <c r="D31" s="48" t="inlineStr"/>
      <c r="E31" s="49" t="inlineStr"/>
      <c r="F31" s="13">
        <f>IF(E31="","",TODAY()-E31)</f>
        <v/>
      </c>
      <c r="G31" s="44" t="inlineStr"/>
      <c r="H31" s="49" t="inlineStr"/>
      <c r="I31" s="44" t="inlineStr"/>
    </row>
    <row r="32" ht="22" customHeight="1">
      <c r="A32" s="44" t="inlineStr"/>
      <c r="B32" s="44" t="inlineStr"/>
      <c r="C32" s="44" t="inlineStr"/>
      <c r="D32" s="48" t="inlineStr"/>
      <c r="E32" s="49" t="inlineStr"/>
      <c r="F32" s="13">
        <f>IF(E32="","",TODAY()-E32)</f>
        <v/>
      </c>
      <c r="G32" s="44" t="inlineStr"/>
      <c r="H32" s="49" t="inlineStr"/>
      <c r="I32" s="44" t="inlineStr"/>
    </row>
    <row r="33" ht="22" customHeight="1">
      <c r="A33" s="44" t="inlineStr"/>
      <c r="B33" s="44" t="inlineStr"/>
      <c r="C33" s="44" t="inlineStr"/>
      <c r="D33" s="48" t="inlineStr"/>
      <c r="E33" s="49" t="inlineStr"/>
      <c r="F33" s="13">
        <f>IF(E33="","",TODAY()-E33)</f>
        <v/>
      </c>
      <c r="G33" s="44" t="inlineStr"/>
      <c r="H33" s="49" t="inlineStr"/>
      <c r="I33" s="44" t="inlineStr"/>
    </row>
    <row r="34" ht="22" customHeight="1">
      <c r="A34" s="44" t="inlineStr"/>
      <c r="B34" s="44" t="inlineStr"/>
      <c r="C34" s="44" t="inlineStr"/>
      <c r="D34" s="48" t="inlineStr"/>
      <c r="E34" s="49" t="inlineStr"/>
      <c r="F34" s="13">
        <f>IF(E34="","",TODAY()-E34)</f>
        <v/>
      </c>
      <c r="G34" s="44" t="inlineStr"/>
      <c r="H34" s="49" t="inlineStr"/>
      <c r="I34" s="44" t="inlineStr"/>
    </row>
    <row r="35" ht="22" customHeight="1">
      <c r="A35" s="44" t="inlineStr"/>
      <c r="B35" s="44" t="inlineStr"/>
      <c r="C35" s="44" t="inlineStr"/>
      <c r="D35" s="48" t="inlineStr"/>
      <c r="E35" s="49" t="inlineStr"/>
      <c r="F35" s="13">
        <f>IF(E35="","",TODAY()-E35)</f>
        <v/>
      </c>
      <c r="G35" s="44" t="inlineStr"/>
      <c r="H35" s="49" t="inlineStr"/>
      <c r="I35" s="44" t="inlineStr"/>
    </row>
    <row r="36" ht="22" customHeight="1">
      <c r="A36" s="44" t="inlineStr"/>
      <c r="B36" s="44" t="inlineStr"/>
      <c r="C36" s="44" t="inlineStr"/>
      <c r="D36" s="48" t="inlineStr"/>
      <c r="E36" s="49" t="inlineStr"/>
      <c r="F36" s="13">
        <f>IF(E36="","",TODAY()-E36)</f>
        <v/>
      </c>
      <c r="G36" s="44" t="inlineStr"/>
      <c r="H36" s="49" t="inlineStr"/>
      <c r="I36" s="44" t="inlineStr"/>
    </row>
    <row r="37" ht="22" customHeight="1">
      <c r="A37" s="44" t="inlineStr"/>
      <c r="B37" s="44" t="inlineStr"/>
      <c r="C37" s="44" t="inlineStr"/>
      <c r="D37" s="48" t="inlineStr"/>
      <c r="E37" s="49" t="inlineStr"/>
      <c r="F37" s="13">
        <f>IF(E37="","",TODAY()-E37)</f>
        <v/>
      </c>
      <c r="G37" s="44" t="inlineStr"/>
      <c r="H37" s="49" t="inlineStr"/>
      <c r="I37" s="44" t="inlineStr"/>
    </row>
    <row r="38" ht="22" customHeight="1">
      <c r="A38" s="44" t="inlineStr"/>
      <c r="B38" s="44" t="inlineStr"/>
      <c r="C38" s="44" t="inlineStr"/>
      <c r="D38" s="48" t="inlineStr"/>
      <c r="E38" s="49" t="inlineStr"/>
      <c r="F38" s="13">
        <f>IF(E38="","",TODAY()-E38)</f>
        <v/>
      </c>
      <c r="G38" s="44" t="inlineStr"/>
      <c r="H38" s="49" t="inlineStr"/>
      <c r="I38" s="44" t="inlineStr"/>
    </row>
    <row r="39" ht="22" customHeight="1">
      <c r="A39" s="44" t="inlineStr"/>
      <c r="B39" s="44" t="inlineStr"/>
      <c r="C39" s="44" t="inlineStr"/>
      <c r="D39" s="48" t="inlineStr"/>
      <c r="E39" s="49" t="inlineStr"/>
      <c r="F39" s="13">
        <f>IF(E39="","",TODAY()-E39)</f>
        <v/>
      </c>
      <c r="G39" s="44" t="inlineStr"/>
      <c r="H39" s="49" t="inlineStr"/>
      <c r="I39" s="44" t="inlineStr"/>
    </row>
    <row r="40" ht="22" customHeight="1">
      <c r="A40" s="44" t="inlineStr"/>
      <c r="B40" s="44" t="inlineStr"/>
      <c r="C40" s="44" t="inlineStr"/>
      <c r="D40" s="48" t="inlineStr"/>
      <c r="E40" s="49" t="inlineStr"/>
      <c r="F40" s="13">
        <f>IF(E40="","",TODAY()-E40)</f>
        <v/>
      </c>
      <c r="G40" s="44" t="inlineStr"/>
      <c r="H40" s="49" t="inlineStr"/>
      <c r="I40" s="44" t="inlineStr"/>
    </row>
    <row r="43" ht="22" customHeight="1">
      <c r="A43" s="17" t="inlineStr">
        <is>
          <t>▸ Total impayés — VALORCIA</t>
        </is>
      </c>
      <c r="D43" s="50">
        <f>SUMIF(A4:A40,"Valorcia",D4:D40)</f>
        <v/>
      </c>
    </row>
    <row r="44" ht="22" customHeight="1">
      <c r="A44" s="19" t="inlineStr">
        <is>
          <t>▸ Total impayés — LUCA CRÉATIONS</t>
        </is>
      </c>
      <c r="D44" s="51">
        <f>SUMIF(A4:A40,"Luca Créations",D4:D40)</f>
        <v/>
      </c>
    </row>
    <row r="45" ht="22" customHeight="1">
      <c r="A45" s="21" t="inlineStr">
        <is>
          <t>▸ Total impayés — 123 SPA</t>
        </is>
      </c>
      <c r="D45" s="52">
        <f>SUMIF(A4:A40,"123 SPA",D4:D40)</f>
        <v/>
      </c>
    </row>
    <row r="46" ht="28" customHeight="1">
      <c r="A46" s="53" t="inlineStr">
        <is>
          <t>🌍 TOTAL IMPAYÉS CONSOLIDÉ</t>
        </is>
      </c>
      <c r="D46" s="54">
        <f>SUM(D4:D40)</f>
        <v/>
      </c>
    </row>
  </sheetData>
  <autoFilter ref="A3:I40"/>
  <mergeCells count="5">
    <mergeCell ref="A44:C44"/>
    <mergeCell ref="A45:C45"/>
    <mergeCell ref="A46:C46"/>
    <mergeCell ref="A1:I1"/>
    <mergeCell ref="A43:C43"/>
  </mergeCells>
  <conditionalFormatting sqref="F4:F40">
    <cfRule type="cellIs" priority="1" operator="greaterThan" dxfId="6">
      <formula>30</formula>
    </cfRule>
    <cfRule type="cellIs" priority="2" operator="greaterThan" dxfId="2">
      <formula>0</formula>
    </cfRule>
  </conditionalFormatting>
  <conditionalFormatting sqref="G4:G40">
    <cfRule type="expression" priority="3" dxfId="3">
      <formula>$G4="Impayé"</formula>
    </cfRule>
    <cfRule type="expression" priority="4" dxfId="2">
      <formula>$G4="En retard"</formula>
    </cfRule>
    <cfRule type="expression" priority="5" dxfId="0">
      <formula>$G4="Payé"</formula>
    </cfRule>
    <cfRule type="expression" priority="6" dxfId="4">
      <formula>$G4="Litige"</formula>
    </cfRule>
    <cfRule type="expression" priority="7" dxfId="4">
      <formula>$G4="Annulé"</formula>
    </cfRule>
  </conditionalFormatting>
  <dataValidations count="2">
    <dataValidation sqref="A4:A40" showDropDown="0" showInputMessage="0" showErrorMessage="0" allowBlank="1" type="list">
      <formula1>"Valorcia,Luca Créations,123 SPA"</formula1>
    </dataValidation>
    <dataValidation sqref="G4:G40" showDropDown="0" showInputMessage="0" showErrorMessage="0" allowBlank="1" type="list">
      <formula1>"Impayé,En retard,Payé,Litige,Annulé"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4" customHeight="1">
      <c r="A1" s="55" t="inlineStr">
        <is>
          <t>📖  MODE D'EMPLOI — Suivi trésorerie multi-sociétés (v2)</t>
        </is>
      </c>
    </row>
    <row r="2" ht="18" customHeight="1">
      <c r="A2" s="56" t="inlineStr"/>
    </row>
    <row r="3" ht="20" customHeight="1">
      <c r="A3" s="57" t="inlineStr">
        <is>
          <t>🎯 STRUCTURE DU FICHIER (nouveauté v2)</t>
        </is>
      </c>
    </row>
    <row r="4" ht="18" customHeight="1">
      <c r="A4" s="58" t="inlineStr">
        <is>
          <t>Les ENTRÉES d'argent et les SORTIES d'argent sont désormais dans deux sections distinctes et clairement séparées visuellement.</t>
        </is>
      </c>
    </row>
    <row r="5" ht="18" customHeight="1">
      <c r="A5" s="59" t="inlineStr"/>
    </row>
    <row r="6" ht="20" customHeight="1">
      <c r="A6" s="60" t="inlineStr">
        <is>
          <t>🟢 SECTION ENTRÉES (fond vert clair, en haut)</t>
        </is>
      </c>
    </row>
    <row r="7" ht="18" customHeight="1">
      <c r="A7" s="58" t="inlineStr">
        <is>
          <t>À remplir avec toutes les recettes prévisionnelles : factures clients, acomptes, remboursements, subventions, etc.</t>
        </is>
      </c>
    </row>
    <row r="8" ht="18" customHeight="1">
      <c r="A8" s="58" t="inlineStr">
        <is>
          <t>Sous-totaux calculés automatiquement par société.</t>
        </is>
      </c>
    </row>
    <row r="9" ht="18" customHeight="1">
      <c r="A9" s="58" t="inlineStr">
        <is>
          <t>Total consolidé ENTRÉES en fin de section.</t>
        </is>
      </c>
    </row>
    <row r="10" ht="18" customHeight="1">
      <c r="A10" s="59" t="inlineStr"/>
    </row>
    <row r="11" ht="20" customHeight="1">
      <c r="A11" s="61" t="inlineStr">
        <is>
          <t>🔴 SECTION SORTIES (fond rouge clair, au milieu)</t>
        </is>
      </c>
    </row>
    <row r="12" ht="18" customHeight="1">
      <c r="A12" s="58" t="inlineStr">
        <is>
          <t>À remplir avec toutes les dépenses prévisionnelles : achats fournisseurs, loyers, salaires, charges sociales, abonnements, etc.</t>
        </is>
      </c>
    </row>
    <row r="13" ht="18" customHeight="1">
      <c r="A13" s="58" t="inlineStr">
        <is>
          <t>Sous-totaux calculés automatiquement par société.</t>
        </is>
      </c>
    </row>
    <row r="14" ht="18" customHeight="1">
      <c r="A14" s="58" t="inlineStr">
        <is>
          <t>Total consolidé SORTIES en fin de section.</t>
        </is>
      </c>
    </row>
    <row r="15" ht="18" customHeight="1">
      <c r="A15" s="59" t="inlineStr"/>
    </row>
    <row r="16" ht="20" customHeight="1">
      <c r="A16" s="57" t="inlineStr">
        <is>
          <t>📊 SECTION SYNTHÈSE (en bas, fond bleu)</t>
        </is>
      </c>
    </row>
    <row r="17" ht="18" customHeight="1">
      <c r="A17" s="58" t="inlineStr">
        <is>
          <t>Calcul automatique du solde net (ENTRÉES − SORTIES) :</t>
        </is>
      </c>
    </row>
    <row r="18" ht="18" customHeight="1">
      <c r="A18" s="62" t="inlineStr">
        <is>
          <t xml:space="preserve">   • Solde net par société (dans la couleur de chacune)</t>
        </is>
      </c>
    </row>
    <row r="19" ht="18" customHeight="1">
      <c r="A19" s="62" t="inlineStr">
        <is>
          <t xml:space="preserve">   • Solde net consolidé (toutes sociétés)</t>
        </is>
      </c>
    </row>
    <row r="20" ht="18" customHeight="1">
      <c r="A20" s="62" t="inlineStr">
        <is>
          <t xml:space="preserve">   • Solde CUMULÉ consolidé — passe en rouge s'il devient négatif ⚠️</t>
        </is>
      </c>
    </row>
    <row r="21" ht="18" customHeight="1">
      <c r="A21" s="59" t="inlineStr"/>
    </row>
    <row r="22" ht="20" customHeight="1">
      <c r="A22" s="57" t="inlineStr">
        <is>
          <t>🏢 LES 3 SOCIÉTÉS</t>
        </is>
      </c>
    </row>
    <row r="23" ht="18" customHeight="1">
      <c r="A23" s="63" t="inlineStr">
        <is>
          <t xml:space="preserve">   🟣 Valorcia — violet</t>
        </is>
      </c>
    </row>
    <row r="24" ht="18" customHeight="1">
      <c r="A24" s="64" t="inlineStr">
        <is>
          <t xml:space="preserve">   🟢 Luca Créations — vert d'eau</t>
        </is>
      </c>
    </row>
    <row r="25" ht="18" customHeight="1">
      <c r="A25" s="65" t="inlineStr">
        <is>
          <t xml:space="preserve">   🔵 123 SPA — bleu</t>
        </is>
      </c>
    </row>
    <row r="26" ht="18" customHeight="1">
      <c r="A26" s="59" t="inlineStr"/>
    </row>
    <row r="27" ht="20" customHeight="1">
      <c r="A27" s="57" t="inlineStr">
        <is>
          <t>✍️ COMMENT REMPLIR</t>
        </is>
      </c>
    </row>
    <row r="28" ht="18" customHeight="1">
      <c r="A28" s="62" t="inlineStr">
        <is>
          <t xml:space="preserve">   1) Placez-vous dans la bonne section (ENTRÉES en vert / SORTIES en rouge)</t>
        </is>
      </c>
    </row>
    <row r="29" ht="18" customHeight="1">
      <c r="A29" s="62" t="inlineStr">
        <is>
          <t xml:space="preserve">   2) Colonne A — sélectionnez la société dans la liste déroulante</t>
        </is>
      </c>
    </row>
    <row r="30" ht="18" customHeight="1">
      <c r="A30" s="62" t="inlineStr">
        <is>
          <t xml:space="preserve">   3) Colonnes B, C — nom du client/fournisseur + projet/nature</t>
        </is>
      </c>
    </row>
    <row r="31" ht="18" customHeight="1">
      <c r="A31" s="62" t="inlineStr">
        <is>
          <t xml:space="preserve">   4) Colonne D — montant HT (positif dans les deux sections)</t>
        </is>
      </c>
    </row>
    <row r="32" ht="18" customHeight="1">
      <c r="A32" s="62" t="inlineStr">
        <is>
          <t xml:space="preserve">   5) Colonne E — date d'échéance (JJ/MM/AAAA)</t>
        </is>
      </c>
    </row>
    <row r="33" ht="18" customHeight="1">
      <c r="A33" s="62" t="inlineStr">
        <is>
          <t xml:space="preserve">   6) Colonne F — statut : Prévu / Payé / Impayé / En retard / Annulé</t>
        </is>
      </c>
    </row>
    <row r="34" ht="18" customHeight="1">
      <c r="A34" s="62" t="inlineStr">
        <is>
          <t xml:space="preserve">   7) Colonnes G à R — reportez le montant sur la semaine concernée</t>
        </is>
      </c>
    </row>
    <row r="35" ht="18" customHeight="1">
      <c r="A35" s="59" t="inlineStr"/>
    </row>
    <row r="36" ht="20" customHeight="1">
      <c r="A36" s="66" t="inlineStr">
        <is>
          <t>🚨 FEUILLE 2 : SUIVI IMPAYÉS</t>
        </is>
      </c>
    </row>
    <row r="37" ht="18" customHeight="1">
      <c r="A37" s="58" t="inlineStr">
        <is>
          <t>Toutes les créances non réglées, avec calcul automatique du nombre de jours de retard. Sous-totaux par société + total consolidé.</t>
        </is>
      </c>
    </row>
    <row r="38" ht="18" customHeight="1">
      <c r="A38" s="59" t="inlineStr"/>
    </row>
    <row r="39" ht="20" customHeight="1">
      <c r="A39" s="67" t="inlineStr">
        <is>
          <t>💡 ASTUCES</t>
        </is>
      </c>
    </row>
    <row r="40" ht="18" customHeight="1">
      <c r="A40" s="62" t="inlineStr">
        <is>
          <t xml:space="preserve">   • Volets figés : les 6 premières colonnes restent visibles quand vous scrollez.</t>
        </is>
      </c>
    </row>
    <row r="41" ht="18" customHeight="1">
      <c r="A41" s="62" t="inlineStr">
        <is>
          <t xml:space="preserve">   • Sauvegardez une copie datée régulièrement (ex : Suivi_treso_2026-12.xlsx).</t>
        </is>
      </c>
    </row>
    <row r="42" ht="18" customHeight="1">
      <c r="A42" s="62" t="inlineStr">
        <is>
          <t xml:space="preserve">   • Format d'impression : A3 paysage.</t>
        </is>
      </c>
    </row>
    <row r="43" ht="18" customHeight="1">
      <c r="A43" s="62" t="inlineStr">
        <is>
          <t xml:space="preserve">   • Pour ajouter d'autres lignes : insérez-les DANS la plage existante pour que les sous-totaux les incluent automatiquement.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2026-08-16T10:17:25Z</dcterms:created>
  <dcterms:modified xmlns:dcterms="http://purl.org/dc/terms/" xmlns:xsi="http://www.w3.org/2001/XMLSchema-instance" xsi:type="dcterms:W3CDTF">2026-08-16T10:17:25Z</dcterms:modified>
</cp:coreProperties>
</file>